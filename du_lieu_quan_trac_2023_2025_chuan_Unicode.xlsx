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5c77527ac10318/Desktop/số liệu mt/"/>
    </mc:Choice>
  </mc:AlternateContent>
  <xr:revisionPtr revIDLastSave="1" documentId="8_{7890E514-0699-40E0-8BDF-8AE884CA038D}" xr6:coauthVersionLast="47" xr6:coauthVersionMax="47" xr10:uidLastSave="{0B7A23B0-BAAA-4583-895C-241441AD300E}"/>
  <bookViews>
    <workbookView xWindow="-83" yWindow="0" windowWidth="13126" windowHeight="11512" firstSheet="1" activeTab="2" xr2:uid="{D2EAD94E-EB08-4776-95B2-40DD99839636}"/>
  </bookViews>
  <sheets>
    <sheet name="Đợt 1 2023" sheetId="1" r:id="rId1"/>
    <sheet name="Đợt 2 2023" sheetId="2" r:id="rId2"/>
    <sheet name="Đợt 3 2023" sheetId="3" r:id="rId3"/>
    <sheet name="Đợt 1 20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R3" i="1"/>
  <c r="R23" i="1"/>
  <c r="S23" i="1" s="1"/>
  <c r="R22" i="1"/>
  <c r="S22" i="1" s="1"/>
  <c r="R21" i="1"/>
  <c r="S21" i="1" s="1"/>
  <c r="R20" i="1"/>
  <c r="S20" i="1" s="1"/>
  <c r="R19" i="1"/>
  <c r="S19" i="1" s="1"/>
  <c r="R18" i="1"/>
  <c r="S18" i="1" s="1"/>
  <c r="R17" i="1"/>
  <c r="S17" i="1" s="1"/>
  <c r="R16" i="1"/>
  <c r="S16" i="1" s="1"/>
  <c r="R15" i="1"/>
  <c r="S15" i="1" s="1"/>
  <c r="R14" i="1"/>
  <c r="S14" i="1" s="1"/>
  <c r="R9" i="1"/>
  <c r="S9" i="1" s="1"/>
  <c r="R8" i="1"/>
  <c r="S8" i="1" s="1"/>
  <c r="R4" i="1"/>
  <c r="S4" i="1" s="1"/>
  <c r="R5" i="1"/>
  <c r="R6" i="1"/>
  <c r="R7" i="1"/>
  <c r="S7" i="1" s="1"/>
  <c r="S5" i="1"/>
  <c r="S6" i="1"/>
  <c r="R25" i="1"/>
  <c r="S25" i="1" s="1"/>
  <c r="R33" i="1"/>
  <c r="S33" i="1" s="1"/>
  <c r="R32" i="1"/>
  <c r="S32" i="1" s="1"/>
  <c r="R31" i="1"/>
  <c r="S31" i="1" s="1"/>
  <c r="R30" i="1"/>
  <c r="S30" i="1" s="1"/>
  <c r="R29" i="1"/>
  <c r="S29" i="1" s="1"/>
  <c r="R28" i="1"/>
  <c r="S28" i="1" s="1"/>
  <c r="R27" i="1"/>
  <c r="S27" i="1" s="1"/>
  <c r="R24" i="1"/>
  <c r="S24" i="1" s="1"/>
  <c r="R13" i="1"/>
  <c r="S13" i="1" s="1"/>
  <c r="R12" i="1"/>
  <c r="S12" i="1" s="1"/>
  <c r="R11" i="1"/>
  <c r="S11" i="1" s="1"/>
  <c r="Y3" i="4"/>
  <c r="Z3" i="4" s="1"/>
  <c r="Y4" i="4"/>
  <c r="Z4" i="4" s="1"/>
  <c r="Y5" i="4"/>
  <c r="Z5" i="4"/>
  <c r="Y6" i="4"/>
  <c r="Z6" i="4"/>
  <c r="Y7" i="4"/>
  <c r="Y8" i="4"/>
  <c r="Z8" i="4" s="1"/>
  <c r="Y9" i="4"/>
  <c r="Z9" i="4" s="1"/>
  <c r="Y10" i="4"/>
  <c r="Z10" i="4" s="1"/>
  <c r="Y11" i="4"/>
  <c r="Z11" i="4" s="1"/>
  <c r="Y12" i="4"/>
  <c r="Z12" i="4"/>
  <c r="Y13" i="4"/>
  <c r="Y14" i="4"/>
  <c r="Z14" i="4" s="1"/>
  <c r="Y15" i="4"/>
  <c r="Z15" i="4"/>
  <c r="Y16" i="4"/>
  <c r="Z16" i="4"/>
  <c r="Y17" i="4"/>
  <c r="Z17" i="4"/>
  <c r="Y18" i="4"/>
  <c r="Y19" i="4"/>
  <c r="Z19" i="4" s="1"/>
  <c r="Y20" i="4"/>
  <c r="Z20" i="4"/>
  <c r="Y21" i="4"/>
  <c r="Y22" i="4"/>
  <c r="Z22" i="4" s="1"/>
  <c r="Y23" i="4"/>
  <c r="Z23" i="4"/>
  <c r="Y24" i="4"/>
  <c r="Z24" i="4" s="1"/>
  <c r="Y25" i="4"/>
  <c r="Z25" i="4" s="1"/>
  <c r="Y26" i="4"/>
  <c r="Z26" i="4"/>
  <c r="Y27" i="4"/>
  <c r="Z27" i="4"/>
  <c r="Y28" i="4"/>
  <c r="Z28" i="4"/>
  <c r="Y29" i="4"/>
  <c r="Z29" i="4"/>
  <c r="Y30" i="4"/>
  <c r="Z30" i="4"/>
  <c r="Y31" i="4"/>
  <c r="Z31" i="4"/>
  <c r="Y32" i="4"/>
  <c r="Z32" i="4" s="1"/>
  <c r="Y33" i="4"/>
  <c r="Z33" i="4" s="1"/>
  <c r="R3" i="3"/>
  <c r="S3" i="3" s="1"/>
  <c r="R4" i="3"/>
  <c r="S4" i="3"/>
  <c r="R5" i="3"/>
  <c r="S5" i="3" s="1"/>
  <c r="R6" i="3"/>
  <c r="S6" i="3" s="1"/>
  <c r="R7" i="3"/>
  <c r="S7" i="3" s="1"/>
  <c r="R8" i="3"/>
  <c r="S8" i="3" s="1"/>
  <c r="R9" i="3"/>
  <c r="S9" i="3"/>
  <c r="R10" i="3"/>
  <c r="S10" i="3"/>
  <c r="R11" i="3"/>
  <c r="S11" i="3" s="1"/>
  <c r="R12" i="3"/>
  <c r="S12" i="3"/>
  <c r="R13" i="3"/>
  <c r="S13" i="3" s="1"/>
  <c r="R14" i="3"/>
  <c r="S14" i="3" s="1"/>
  <c r="R15" i="3"/>
  <c r="S15" i="3" s="1"/>
  <c r="R16" i="3"/>
  <c r="S16" i="3"/>
  <c r="R17" i="3"/>
  <c r="S17" i="3"/>
  <c r="R18" i="3"/>
  <c r="S18" i="3" s="1"/>
  <c r="R19" i="3"/>
  <c r="S19" i="3"/>
  <c r="R20" i="3"/>
  <c r="S20" i="3" s="1"/>
  <c r="R21" i="3"/>
  <c r="S21" i="3"/>
  <c r="R22" i="3"/>
  <c r="S22" i="3"/>
  <c r="R23" i="3"/>
  <c r="S23" i="3" s="1"/>
  <c r="R24" i="3"/>
  <c r="S24" i="3" s="1"/>
  <c r="R25" i="3"/>
  <c r="S25" i="3"/>
  <c r="R26" i="3"/>
  <c r="S26" i="3"/>
  <c r="R27" i="3"/>
  <c r="S27" i="3"/>
  <c r="R28" i="3"/>
  <c r="S28" i="3"/>
  <c r="R29" i="3"/>
  <c r="S29" i="3"/>
  <c r="R30" i="3"/>
  <c r="S30" i="3" s="1"/>
  <c r="R31" i="3"/>
  <c r="S31" i="3"/>
  <c r="R32" i="3"/>
  <c r="S32" i="3"/>
  <c r="R33" i="3"/>
  <c r="S33" i="3" s="1"/>
  <c r="R3" i="2"/>
  <c r="S3" i="2" s="1"/>
  <c r="R4" i="2"/>
  <c r="S4" i="2" s="1"/>
  <c r="R5" i="2"/>
  <c r="S5" i="2" s="1"/>
  <c r="R6" i="2"/>
  <c r="S6" i="2"/>
  <c r="R7" i="2"/>
  <c r="S7" i="2" s="1"/>
  <c r="R8" i="2"/>
  <c r="S8" i="2"/>
  <c r="R9" i="2"/>
  <c r="S9" i="2" s="1"/>
  <c r="R10" i="2"/>
  <c r="S10" i="2" s="1"/>
  <c r="R11" i="2"/>
  <c r="S11" i="2"/>
  <c r="R12" i="2"/>
  <c r="S12" i="2" s="1"/>
  <c r="R13" i="2"/>
  <c r="S13" i="2" s="1"/>
  <c r="R14" i="2"/>
  <c r="S14" i="2"/>
  <c r="R15" i="2"/>
  <c r="S15" i="2"/>
  <c r="R16" i="2"/>
  <c r="S16" i="2"/>
  <c r="R17" i="2"/>
  <c r="S17" i="2" s="1"/>
  <c r="R18" i="2"/>
  <c r="S18" i="2"/>
  <c r="R19" i="2"/>
  <c r="S19" i="2" s="1"/>
  <c r="R20" i="2"/>
  <c r="S20" i="2" s="1"/>
  <c r="R21" i="2"/>
  <c r="S21" i="2" s="1"/>
  <c r="R22" i="2"/>
  <c r="S22" i="2"/>
  <c r="R23" i="2"/>
  <c r="S23" i="2" s="1"/>
  <c r="R24" i="2"/>
  <c r="S24" i="2"/>
  <c r="R25" i="2"/>
  <c r="S25" i="2"/>
  <c r="R26" i="2"/>
  <c r="S26" i="2"/>
  <c r="R27" i="2"/>
  <c r="S27" i="2"/>
  <c r="R28" i="2"/>
  <c r="S28" i="2" s="1"/>
  <c r="R29" i="2"/>
  <c r="S29" i="2" s="1"/>
  <c r="R30" i="2"/>
  <c r="S30" i="2" s="1"/>
  <c r="R31" i="2"/>
  <c r="S31" i="2" s="1"/>
  <c r="R32" i="2"/>
  <c r="S32" i="2" s="1"/>
  <c r="R33" i="2"/>
  <c r="S33" i="2" s="1"/>
  <c r="R10" i="1"/>
  <c r="S10" i="1" s="1"/>
  <c r="R26" i="1"/>
  <c r="S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 Tay</author>
    <author>This PC</author>
    <author>THUYMT</author>
  </authors>
  <commentList>
    <comment ref="B4" authorId="0" shapeId="0" xr:uid="{B9F0B691-910E-48F7-88E8-1F4B5FBC2D73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NM17</t>
        </r>
      </text>
    </comment>
    <comment ref="L4" authorId="1" shapeId="0" xr:uid="{A2DFDA44-3237-42C0-9B54-135AB0672519}">
      <text>
        <r>
          <rPr>
            <b/>
            <sz val="9"/>
            <rFont val="Arial"/>
            <family val="2"/>
            <charset val="163"/>
            <scheme val="minor"/>
          </rPr>
          <t>This PC:</t>
        </r>
        <r>
          <rPr>
            <sz val="9"/>
            <rFont val="Arial"/>
            <family val="2"/>
            <charset val="163"/>
            <scheme val="minor"/>
          </rPr>
          <t xml:space="preserve">
LAY KQ NM8</t>
        </r>
      </text>
    </comment>
    <comment ref="B5" authorId="0" shapeId="0" xr:uid="{39A751E5-8F0C-4567-9FC4-300CCB56AD58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</t>
        </r>
      </text>
    </comment>
    <comment ref="L5" authorId="1" shapeId="0" xr:uid="{48892A46-7518-4AB7-8355-45838194FA2A}">
      <text>
        <r>
          <rPr>
            <b/>
            <sz val="9"/>
            <rFont val="Arial"/>
            <family val="2"/>
            <charset val="163"/>
            <scheme val="minor"/>
          </rPr>
          <t>This PC:</t>
        </r>
        <r>
          <rPr>
            <sz val="9"/>
            <rFont val="Arial"/>
            <family val="2"/>
            <charset val="163"/>
            <scheme val="minor"/>
          </rPr>
          <t xml:space="preserve">
LẤY KQ NM6</t>
        </r>
      </text>
    </comment>
    <comment ref="B6" authorId="0" shapeId="0" xr:uid="{2C1FCC96-1AED-41D7-8B32-2C8E2022272D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NM2</t>
        </r>
      </text>
    </comment>
    <comment ref="B7" authorId="0" shapeId="0" xr:uid="{EC3682BB-482C-4D9D-8F3B-BBBF5E9766A9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NM3</t>
        </r>
      </text>
    </comment>
    <comment ref="K9" authorId="2" shapeId="0" xr:uid="{937161FB-A599-45D9-8819-A019D22442C4}">
      <text>
        <r>
          <rPr>
            <b/>
            <sz val="9"/>
            <rFont val="Arial"/>
            <family val="2"/>
            <charset val="163"/>
            <scheme val="minor"/>
          </rPr>
          <t>THUYMT:</t>
        </r>
        <r>
          <rPr>
            <sz val="9"/>
            <rFont val="Arial"/>
            <family val="2"/>
            <charset val="163"/>
            <scheme val="minor"/>
          </rPr>
          <t xml:space="preserve">
1192</t>
        </r>
      </text>
    </comment>
    <comment ref="L9" authorId="1" shapeId="0" xr:uid="{8C22467A-FF6B-427E-A041-1EDBD69FDACE}">
      <text>
        <r>
          <rPr>
            <b/>
            <sz val="9"/>
            <rFont val="Arial"/>
            <family val="2"/>
            <charset val="163"/>
            <scheme val="minor"/>
          </rPr>
          <t>lấy kq NM1</t>
        </r>
      </text>
    </comment>
    <comment ref="L10" authorId="1" shapeId="0" xr:uid="{4AF8382E-DD51-4930-B7CC-AFE7E3231781}">
      <text>
        <r>
          <rPr>
            <b/>
            <sz val="9"/>
            <rFont val="Arial"/>
            <family val="2"/>
            <charset val="163"/>
            <scheme val="minor"/>
          </rPr>
          <t>This PC:</t>
        </r>
        <r>
          <rPr>
            <sz val="9"/>
            <rFont val="Arial"/>
            <family val="2"/>
            <charset val="163"/>
            <scheme val="minor"/>
          </rPr>
          <t xml:space="preserve">
LẤY KQ  NM2</t>
        </r>
      </text>
    </comment>
    <comment ref="B12" authorId="0" shapeId="0" xr:uid="{F94A9C4A-B0FA-4166-A40B-FDBBF3348CCC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NM13</t>
        </r>
      </text>
    </comment>
    <comment ref="K12" authorId="0" shapeId="0" xr:uid="{AAC637E0-095B-47D2-A60B-EAD2DC686A10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ll kph</t>
        </r>
      </text>
    </comment>
    <comment ref="I13" authorId="2" shapeId="0" xr:uid="{6ACA8D26-C52F-4F96-8CD2-3D2607027D41}">
      <text>
        <r>
          <rPr>
            <b/>
            <sz val="9"/>
            <rFont val="Arial"/>
            <family val="2"/>
            <charset val="163"/>
            <scheme val="minor"/>
          </rPr>
          <t>THUYMT:</t>
        </r>
        <r>
          <rPr>
            <sz val="9"/>
            <rFont val="Arial"/>
            <family val="2"/>
            <charset val="163"/>
            <scheme val="minor"/>
          </rPr>
          <t xml:space="preserve">
0,00058</t>
        </r>
      </text>
    </comment>
    <comment ref="B15" authorId="0" shapeId="0" xr:uid="{5C3976DC-BFCE-44CB-AFC5-740C70176967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NM20</t>
        </r>
      </text>
    </comment>
    <comment ref="B18" authorId="0" shapeId="0" xr:uid="{FDB5025E-FF75-4388-ABA1-F18D22E28138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NM7</t>
        </r>
      </text>
    </comment>
    <comment ref="B22" authorId="0" shapeId="0" xr:uid="{1F8382E3-EE9F-4890-AF2C-15C0D50E7162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NM6</t>
        </r>
      </text>
    </comment>
    <comment ref="B24" authorId="1" shapeId="0" xr:uid="{7B31E7BA-3200-478D-9F54-F4E45CFE8426}">
      <text>
        <r>
          <rPr>
            <b/>
            <sz val="9"/>
            <rFont val="Arial"/>
            <family val="2"/>
            <charset val="163"/>
            <scheme val="minor"/>
          </rPr>
          <t>This PC:</t>
        </r>
        <r>
          <rPr>
            <sz val="9"/>
            <rFont val="Arial"/>
            <family val="2"/>
            <charset val="163"/>
            <scheme val="minor"/>
          </rPr>
          <t xml:space="preserve">
nm23</t>
        </r>
      </text>
    </comment>
    <comment ref="J24" authorId="1" shapeId="0" xr:uid="{134CC5EF-BB87-4D4F-900D-F9BD25882190}">
      <text>
        <r>
          <rPr>
            <b/>
            <sz val="9"/>
            <rFont val="Arial"/>
            <family val="2"/>
            <charset val="163"/>
            <scheme val="minor"/>
          </rPr>
          <t>This PC:</t>
        </r>
        <r>
          <rPr>
            <sz val="9"/>
            <rFont val="Arial"/>
            <family val="2"/>
            <charset val="163"/>
            <scheme val="minor"/>
          </rPr>
          <t xml:space="preserve">
đổi kq nm19</t>
        </r>
      </text>
    </comment>
    <comment ref="H26" authorId="1" shapeId="0" xr:uid="{F436CC01-97D5-4790-9947-6671FFA5D0C8}">
      <text>
        <r>
          <rPr>
            <b/>
            <sz val="9"/>
            <rFont val="Arial"/>
            <family val="2"/>
            <charset val="163"/>
            <scheme val="minor"/>
          </rPr>
          <t>This PC:</t>
        </r>
        <r>
          <rPr>
            <sz val="9"/>
            <rFont val="Arial"/>
            <family val="2"/>
            <charset val="163"/>
            <scheme val="minor"/>
          </rPr>
          <t xml:space="preserve">
đôi ka nm26</t>
        </r>
      </text>
    </comment>
    <comment ref="H28" authorId="1" shapeId="0" xr:uid="{71883FA0-5449-4ACF-83DE-9B890198EB75}">
      <text>
        <r>
          <rPr>
            <b/>
            <sz val="9"/>
            <rFont val="Arial"/>
            <family val="2"/>
            <charset val="163"/>
            <scheme val="minor"/>
          </rPr>
          <t>This PC:</t>
        </r>
        <r>
          <rPr>
            <sz val="9"/>
            <rFont val="Arial"/>
            <family val="2"/>
            <charset val="163"/>
            <scheme val="minor"/>
          </rPr>
          <t xml:space="preserve">
đôi ka nm24</t>
        </r>
      </text>
    </comment>
    <comment ref="B29" authorId="0" shapeId="0" xr:uid="{5ECF5EDC-EDAA-477F-8B15-39BD8A30BAC7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NM15</t>
        </r>
      </text>
    </comment>
    <comment ref="B30" authorId="0" shapeId="0" xr:uid="{7ADFD13E-1BF0-4F1F-9F84-2944FA570BCF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NM16</t>
        </r>
      </text>
    </comment>
    <comment ref="J31" authorId="1" shapeId="0" xr:uid="{91BCD69C-72E5-428E-9FD4-86B8C1CB16FB}">
      <text>
        <r>
          <rPr>
            <b/>
            <sz val="9"/>
            <rFont val="Arial"/>
            <family val="2"/>
            <charset val="163"/>
            <scheme val="minor"/>
          </rPr>
          <t>This PC:</t>
        </r>
        <r>
          <rPr>
            <sz val="9"/>
            <rFont val="Arial"/>
            <family val="2"/>
            <charset val="163"/>
            <scheme val="minor"/>
          </rPr>
          <t xml:space="preserve">
2,25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 Tay</author>
    <author>This PC</author>
  </authors>
  <commentList>
    <comment ref="B4" authorId="0" shapeId="0" xr:uid="{74FCC159-C434-4F0E-AA02-876D5B2D9F75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NM17</t>
        </r>
      </text>
    </comment>
    <comment ref="B5" authorId="0" shapeId="0" xr:uid="{DC808F77-8A3E-4068-87FA-8D811E40D6F1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</t>
        </r>
      </text>
    </comment>
    <comment ref="B6" authorId="0" shapeId="0" xr:uid="{075384E4-A610-41C7-8D44-0AE7FBD81737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NM2</t>
        </r>
      </text>
    </comment>
    <comment ref="B7" authorId="0" shapeId="0" xr:uid="{A7AABEED-E617-4E83-8B97-6A6B78CD17B8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NM3</t>
        </r>
      </text>
    </comment>
    <comment ref="B12" authorId="0" shapeId="0" xr:uid="{142F2827-7A54-4D6A-BB2A-90FF4440962B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NM13</t>
        </r>
      </text>
    </comment>
    <comment ref="B15" authorId="0" shapeId="0" xr:uid="{2376C784-A284-4CCA-A527-E4498E1D75B5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NM20</t>
        </r>
      </text>
    </comment>
    <comment ref="B18" authorId="0" shapeId="0" xr:uid="{94C2212E-FEF5-4218-A465-D717CEFC07F8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NM7</t>
        </r>
      </text>
    </comment>
    <comment ref="B22" authorId="0" shapeId="0" xr:uid="{7A1EC56E-56AF-4D8E-9367-3741D53EEE65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NM6</t>
        </r>
      </text>
    </comment>
    <comment ref="B24" authorId="1" shapeId="0" xr:uid="{C51E2FA4-75DE-4DA7-A7C5-C92473E95531}">
      <text>
        <r>
          <rPr>
            <b/>
            <sz val="9"/>
            <rFont val="Arial"/>
            <family val="2"/>
            <charset val="163"/>
            <scheme val="minor"/>
          </rPr>
          <t>This PC:</t>
        </r>
        <r>
          <rPr>
            <sz val="9"/>
            <rFont val="Arial"/>
            <family val="2"/>
            <charset val="163"/>
            <scheme val="minor"/>
          </rPr>
          <t xml:space="preserve">
nm23</t>
        </r>
      </text>
    </comment>
    <comment ref="H28" authorId="1" shapeId="0" xr:uid="{6DE97999-2E81-4B94-B416-07FF29EE15C8}">
      <text>
        <r>
          <rPr>
            <b/>
            <sz val="9"/>
            <rFont val="Arial"/>
            <family val="2"/>
            <charset val="163"/>
            <scheme val="minor"/>
          </rPr>
          <t>This PC:</t>
        </r>
        <r>
          <rPr>
            <sz val="9"/>
            <rFont val="Arial"/>
            <family val="2"/>
            <charset val="163"/>
            <scheme val="minor"/>
          </rPr>
          <t xml:space="preserve">
đôi ka nm24</t>
        </r>
      </text>
    </comment>
    <comment ref="B29" authorId="0" shapeId="0" xr:uid="{FDB5F679-B797-42CB-BCDA-1F577273430F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NM15</t>
        </r>
      </text>
    </comment>
    <comment ref="B30" authorId="0" shapeId="0" xr:uid="{FFCC815F-49B0-4E16-8595-78E9F73DDDAC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 Tay</author>
    <author>This PC</author>
  </authors>
  <commentList>
    <comment ref="B4" authorId="0" shapeId="0" xr:uid="{240491C9-B91C-4054-B026-6E87F1548BFB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NM17</t>
        </r>
      </text>
    </comment>
    <comment ref="B5" authorId="0" shapeId="0" xr:uid="{2CEFA19A-AFE0-49F5-98C5-938B106C5F43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</t>
        </r>
      </text>
    </comment>
    <comment ref="B6" authorId="0" shapeId="0" xr:uid="{E47CB427-1853-4ABB-BBB1-EC953596A474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NM2</t>
        </r>
      </text>
    </comment>
    <comment ref="B7" authorId="0" shapeId="0" xr:uid="{3830A9F6-7CD3-4F31-9805-84887D427E5A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NM3</t>
        </r>
      </text>
    </comment>
    <comment ref="B12" authorId="0" shapeId="0" xr:uid="{3F30C169-78E8-46B7-A00F-65DC9810A586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NM13</t>
        </r>
      </text>
    </comment>
    <comment ref="B15" authorId="0" shapeId="0" xr:uid="{C6B8BC21-F502-4051-B414-7D69388235B5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NM20</t>
        </r>
      </text>
    </comment>
    <comment ref="B18" authorId="0" shapeId="0" xr:uid="{6F583DBE-0E32-41C8-9D34-A7272A671700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NM7</t>
        </r>
      </text>
    </comment>
    <comment ref="B22" authorId="0" shapeId="0" xr:uid="{5728DB37-F69D-433F-BC97-010E5B0AC66B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NM6</t>
        </r>
      </text>
    </comment>
    <comment ref="B24" authorId="1" shapeId="0" xr:uid="{B7B99CF5-C963-42C2-91BD-DC195D6F519D}">
      <text>
        <r>
          <rPr>
            <b/>
            <sz val="9"/>
            <rFont val="Arial"/>
            <family val="2"/>
            <charset val="163"/>
            <scheme val="minor"/>
          </rPr>
          <t>This PC:</t>
        </r>
        <r>
          <rPr>
            <sz val="9"/>
            <rFont val="Arial"/>
            <family val="2"/>
            <charset val="163"/>
            <scheme val="minor"/>
          </rPr>
          <t xml:space="preserve">
nm23</t>
        </r>
      </text>
    </comment>
    <comment ref="B29" authorId="0" shapeId="0" xr:uid="{35E9B18A-715A-47FF-914F-B0983533B172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NM15</t>
        </r>
      </text>
    </comment>
    <comment ref="B30" authorId="0" shapeId="0" xr:uid="{FD654FBB-3C15-45BA-992A-8054EEAB6111}">
      <text>
        <r>
          <rPr>
            <b/>
            <sz val="9"/>
            <rFont val="Arial"/>
            <family val="2"/>
            <charset val="163"/>
            <scheme val="minor"/>
          </rPr>
          <t>Dau Tay:</t>
        </r>
        <r>
          <rPr>
            <sz val="9"/>
            <rFont val="Arial"/>
            <family val="2"/>
            <charset val="163"/>
            <scheme val="minor"/>
          </rPr>
          <t xml:space="preserve">
NM16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laptop</author>
  </authors>
  <commentList>
    <comment ref="M4" authorId="0" shapeId="0" xr:uid="{40EF82A0-1FC2-47C3-BBEF-11ABCD1E5D0D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7,4</t>
        </r>
      </text>
    </comment>
    <comment ref="S4" authorId="0" shapeId="0" xr:uid="{E79D38C2-CF4A-47E3-A8F5-67C6DD40334D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0,33
2,16</t>
        </r>
      </text>
    </comment>
    <comment ref="E5" authorId="0" shapeId="0" xr:uid="{5E7586F1-AF79-400B-8712-FB71E0BA6A5C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1,21
0,32
0,85
</t>
        </r>
      </text>
    </comment>
    <comment ref="E6" authorId="0" shapeId="0" xr:uid="{36546E38-20B3-41D9-B7F0-A642E08D6B8D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0,31
0,80</t>
        </r>
      </text>
    </comment>
    <comment ref="L6" authorId="0" shapeId="0" xr:uid="{0E188979-6E6F-4319-8EE7-493BD04CF4CE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7,52</t>
        </r>
      </text>
    </comment>
    <comment ref="D7" authorId="0" shapeId="0" xr:uid="{E84A294E-5AE5-49B0-B7A8-11CC1AAC389B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đợt 1: 5156
9191
đi lấy mẫu lại
1020</t>
        </r>
      </text>
    </comment>
    <comment ref="E7" authorId="0" shapeId="0" xr:uid="{2548B62C-1C16-4B14-BA0F-0A1CB217FBA0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0,77
</t>
        </r>
      </text>
    </comment>
    <comment ref="Q7" authorId="1" shapeId="0" xr:uid="{807C6C50-C5F5-4CB0-8016-483E7D78699D}">
      <text>
        <r>
          <rPr>
            <b/>
            <sz val="9"/>
            <rFont val="Arial"/>
            <family val="2"/>
            <charset val="163"/>
            <scheme val="minor"/>
          </rPr>
          <t>laptop:</t>
        </r>
        <r>
          <rPr>
            <sz val="9"/>
            <rFont val="Arial"/>
            <family val="2"/>
            <charset val="163"/>
            <scheme val="minor"/>
          </rPr>
          <t xml:space="preserve">
8,32</t>
        </r>
      </text>
    </comment>
    <comment ref="S7" authorId="0" shapeId="0" xr:uid="{E88A8790-6024-4540-8417-0F52C6D8A2FC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0,59
0,71</t>
        </r>
      </text>
    </comment>
    <comment ref="E9" authorId="0" shapeId="0" xr:uid="{9AACD3AF-1783-43D2-880E-089D4AE442A7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0,18
0,64
0,41</t>
        </r>
      </text>
    </comment>
    <comment ref="S9" authorId="0" shapeId="0" xr:uid="{508AB921-FDE5-49DF-86B4-C8044A018B84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0,25</t>
        </r>
      </text>
    </comment>
    <comment ref="E10" authorId="0" shapeId="0" xr:uid="{E6C43CA0-57FA-4A4E-86C3-7B64612A1C85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0,32
qc</t>
        </r>
      </text>
    </comment>
    <comment ref="S10" authorId="0" shapeId="0" xr:uid="{71707707-F045-4AD3-BCE4-63DC0A37F40C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kph</t>
        </r>
      </text>
    </comment>
    <comment ref="E11" authorId="0" shapeId="0" xr:uid="{A987861E-5EC5-4805-8318-A53A63AFF355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0,19
0,47</t>
        </r>
      </text>
    </comment>
    <comment ref="S11" authorId="0" shapeId="0" xr:uid="{533771F4-8B40-4A72-A946-2189F8EA2AF2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0,55
kph</t>
        </r>
      </text>
    </comment>
    <comment ref="E12" authorId="0" shapeId="0" xr:uid="{AAD9AFD3-7558-4D91-A9BC-4C8F40FA19CC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0,34
0,55
0,64</t>
        </r>
      </text>
    </comment>
    <comment ref="C13" authorId="0" shapeId="0" xr:uid="{293AE0B2-9981-4399-AE5F-03AD63D1C69D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0,03</t>
        </r>
      </text>
    </comment>
    <comment ref="D13" authorId="0" shapeId="0" xr:uid="{9B234A05-DF17-4427-A65A-CD8D2B3CCD93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4748
1050
lấy mẫu lại
598</t>
        </r>
      </text>
    </comment>
    <comment ref="S13" authorId="0" shapeId="0" xr:uid="{9F0780A1-10E9-4DC9-8A6D-3D0E310E247D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0,33</t>
        </r>
      </text>
    </comment>
    <comment ref="E14" authorId="0" shapeId="0" xr:uid="{86E81EA1-A896-47C6-B2BE-B53371C11259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0,21
0,56
0,29</t>
        </r>
      </text>
    </comment>
    <comment ref="E15" authorId="0" shapeId="0" xr:uid="{C4594ADA-F97A-4207-A24E-7F3F95BC50E7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1,01
0,64</t>
        </r>
      </text>
    </comment>
    <comment ref="F15" authorId="0" shapeId="0" xr:uid="{4374B251-6033-4C4C-9862-7470331621B2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0,02</t>
        </r>
      </text>
    </comment>
    <comment ref="E16" authorId="0" shapeId="0" xr:uid="{D368E6BF-E0A9-4585-9EC2-880DD1E5CE38}">
      <text>
        <r>
          <rPr>
            <b/>
            <sz val="9"/>
            <rFont val="Arial"/>
            <family val="2"/>
            <charset val="163"/>
            <scheme val="minor"/>
          </rPr>
          <t>DELL: 0,2
0,95
0,35</t>
        </r>
      </text>
    </comment>
    <comment ref="N16" authorId="0" shapeId="0" xr:uid="{B9B4FAB6-6CF7-49D5-8D2B-6754CCAA6922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112</t>
        </r>
      </text>
    </comment>
    <comment ref="S16" authorId="0" shapeId="0" xr:uid="{32D9765E-94C1-44C7-86AB-1217E9239E7D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0,39
kph</t>
        </r>
      </text>
    </comment>
    <comment ref="E17" authorId="0" shapeId="0" xr:uid="{08A6BF55-763C-456E-8C98-BD3712523409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0,43
1,19
0,27
</t>
        </r>
      </text>
    </comment>
    <comment ref="D18" authorId="0" shapeId="0" xr:uid="{C9C3AF06-4B94-40D7-A70A-7DB28BF7E567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4536
1320
1355</t>
        </r>
      </text>
    </comment>
    <comment ref="E18" authorId="0" shapeId="0" xr:uid="{7E551FB8-4ECE-454A-A323-BEEDBDEA83E2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0,24
1,53
0,43</t>
        </r>
      </text>
    </comment>
    <comment ref="Q18" authorId="0" shapeId="0" xr:uid="{31C0007C-2610-4CC2-85E2-A926FBBB5CE9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ngay QC</t>
        </r>
      </text>
    </comment>
    <comment ref="E19" authorId="0" shapeId="0" xr:uid="{4311987A-FE04-4CF4-B2B8-3B9F26743196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0,79
0,58
0,55</t>
        </r>
      </text>
    </comment>
    <comment ref="E20" authorId="0" shapeId="0" xr:uid="{742A8ACB-53E9-4724-A456-0710937F8762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0,34
0,62</t>
        </r>
      </text>
    </comment>
    <comment ref="D21" authorId="0" shapeId="0" xr:uid="{4F5701F7-8296-41B2-A29E-5EE5047A6B0D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14817
2978
5955</t>
        </r>
      </text>
    </comment>
    <comment ref="E21" authorId="0" shapeId="0" xr:uid="{DFA34DDD-42F7-4E81-8470-382103B57C65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0,43
0,30
</t>
        </r>
      </text>
    </comment>
    <comment ref="C22" authorId="0" shapeId="0" xr:uid="{81C6BD09-2A8E-472B-9691-2E3AEB5B2726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0,33
0,11
</t>
        </r>
      </text>
    </comment>
    <comment ref="E22" authorId="0" shapeId="0" xr:uid="{AB95064C-0606-43EA-A9D1-3986A7383439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1,84
1,58
0,80</t>
        </r>
      </text>
    </comment>
    <comment ref="R22" authorId="0" shapeId="0" xr:uid="{ABF1D81C-D5A2-44E0-A8D8-9B27EF4F5C1F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0,22
0,46
0,14</t>
        </r>
      </text>
    </comment>
    <comment ref="S22" authorId="0" shapeId="0" xr:uid="{142BA4F5-EBAA-44D5-83F3-450F6F8AB0DC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1,57
0,76
0,51</t>
        </r>
      </text>
    </comment>
    <comment ref="C23" authorId="0" shapeId="0" xr:uid="{99E1136B-FCEE-490F-8B1E-962CF5B98229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2,28
0,54
0,40</t>
        </r>
      </text>
    </comment>
    <comment ref="E23" authorId="0" shapeId="0" xr:uid="{22E1B652-AEA9-4C09-9ADE-66C685BDFF2E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1,17
1,36
0,94</t>
        </r>
      </text>
    </comment>
    <comment ref="R23" authorId="0" shapeId="0" xr:uid="{9A18D4F6-BE23-4536-8453-5D951CC2C8D4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0,15</t>
        </r>
      </text>
    </comment>
    <comment ref="S23" authorId="0" shapeId="0" xr:uid="{3FD215DE-5297-41A1-88DA-DC8C0EF9364A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3,41
1,39
0,83</t>
        </r>
      </text>
    </comment>
    <comment ref="C24" authorId="0" shapeId="0" xr:uid="{7ADBD4D0-23C1-4ACE-8C7E-7352B308FAF1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dot 1: 0,28
0,24</t>
        </r>
      </text>
    </comment>
    <comment ref="D24" authorId="0" shapeId="0" xr:uid="{674838BB-3194-4BCF-8105-925F059EC41B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3953
449
đi lấy mẫu lại
31</t>
        </r>
      </text>
    </comment>
    <comment ref="E24" authorId="0" shapeId="0" xr:uid="{E02A8F15-5DB2-4A5C-9C38-1FC35E2B7F5E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0,62
0,9
1,74
</t>
        </r>
      </text>
    </comment>
    <comment ref="F24" authorId="0" shapeId="0" xr:uid="{9A4EE4F1-C40A-45FA-B077-6A5BF275D89C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0,25</t>
        </r>
      </text>
    </comment>
    <comment ref="S24" authorId="0" shapeId="0" xr:uid="{58387DD5-7B01-4CCB-9824-4A2BE3DA87B3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0,49</t>
        </r>
      </text>
    </comment>
    <comment ref="E25" authorId="0" shapeId="0" xr:uid="{A2909788-55FC-405E-9434-24A6BAADD3DC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0,62
2,01
1,87</t>
        </r>
      </text>
    </comment>
    <comment ref="S25" authorId="0" shapeId="0" xr:uid="{05AF60F4-BA88-457E-9D47-58397F7A8707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0,81
1,01
</t>
        </r>
      </text>
    </comment>
    <comment ref="D26" authorId="0" shapeId="0" xr:uid="{16382659-E2BC-4688-A9E9-C75D6DD1C615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13
70</t>
        </r>
      </text>
    </comment>
    <comment ref="E26" authorId="0" shapeId="0" xr:uid="{901DD703-513D-42C5-B498-17373A400961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1,64
1,28
1,60</t>
        </r>
      </text>
    </comment>
    <comment ref="D27" authorId="0" shapeId="0" xr:uid="{8F73BF3E-112F-4700-BE27-0B64740773E2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14
72</t>
        </r>
      </text>
    </comment>
    <comment ref="E27" authorId="0" shapeId="0" xr:uid="{4970953B-DC1C-4D1E-84EB-ECB80FA30D5B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0,8
1,57
1,68</t>
        </r>
      </text>
    </comment>
    <comment ref="C28" authorId="0" shapeId="0" xr:uid="{9B0EC5A8-46CF-4438-BDA5-1721AFAEEAB9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0,71</t>
        </r>
      </text>
    </comment>
    <comment ref="D28" authorId="0" shapeId="0" xr:uid="{52CB581D-D7B0-4914-9298-B870BB4555AA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29
9</t>
        </r>
      </text>
    </comment>
    <comment ref="E28" authorId="0" shapeId="0" xr:uid="{F9F29B8C-E81E-4A85-946E-291C6729474B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0,46
0,84
1,26</t>
        </r>
      </text>
    </comment>
    <comment ref="S28" authorId="0" shapeId="0" xr:uid="{2E3826DD-EB7D-4D8A-AFC7-178DA38C7C71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ĐỢT 1: 1,66
0,61
1,41</t>
        </r>
      </text>
    </comment>
    <comment ref="C29" authorId="0" shapeId="0" xr:uid="{8AA5201A-81E8-4B1E-BF5A-6CF473F6E7BA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đợt 1: 1,56
0,71
</t>
        </r>
      </text>
    </comment>
    <comment ref="D29" authorId="0" shapeId="0" xr:uid="{57F76949-77B8-4A89-B90A-8EC33F537AC7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8</t>
        </r>
      </text>
    </comment>
    <comment ref="E29" authorId="0" shapeId="0" xr:uid="{8F3342AC-781F-4A44-B370-CFC05A892120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1,85
1,13</t>
        </r>
      </text>
    </comment>
    <comment ref="R29" authorId="0" shapeId="0" xr:uid="{E9E2AEA9-47DC-467F-9521-550DBA9417FA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0,33</t>
        </r>
      </text>
    </comment>
    <comment ref="S29" authorId="0" shapeId="0" xr:uid="{76974A49-2429-4C16-8F19-C1EFBAFA8937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ĐỢT 1: 2,14
0,62
1,33</t>
        </r>
      </text>
    </comment>
    <comment ref="C30" authorId="0" shapeId="0" xr:uid="{3EE08A27-61A2-47C9-946F-20A33E2541F7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3,54
2,17
0,71</t>
        </r>
      </text>
    </comment>
    <comment ref="D30" authorId="0" shapeId="0" xr:uid="{CC311563-8F0F-4157-BB4B-9A96F16CECD0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129
84
19</t>
        </r>
      </text>
    </comment>
    <comment ref="E30" authorId="0" shapeId="0" xr:uid="{719C8B2F-D3A0-4385-9FC3-A1CFE8602BA0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1,63
1,59
0,70</t>
        </r>
      </text>
    </comment>
    <comment ref="F30" authorId="0" shapeId="0" xr:uid="{66FAC077-8B8F-47BD-BCB6-51C96C614F64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0,21
0,45
0,12</t>
        </r>
      </text>
    </comment>
    <comment ref="R30" authorId="0" shapeId="0" xr:uid="{05CCC582-7B56-4B2A-954B-4EE725732441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7,33
11,8
0,42</t>
        </r>
      </text>
    </comment>
    <comment ref="S30" authorId="0" shapeId="0" xr:uid="{40213AA5-5727-4C58-93FA-0C977D57879C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14,6
12,3
3,31</t>
        </r>
      </text>
    </comment>
    <comment ref="C31" authorId="0" shapeId="0" xr:uid="{B4A9CB0A-EADC-46FC-82B5-C2B09D7FC505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đợt 1: 16,7
0,12</t>
        </r>
      </text>
    </comment>
    <comment ref="E31" authorId="0" shapeId="0" xr:uid="{9EF149CF-C6E2-489E-82A8-DD43BE6B8076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6,82
1,48
1,63</t>
        </r>
      </text>
    </comment>
    <comment ref="N31" authorId="0" shapeId="0" xr:uid="{B8B1A1B5-FD96-44EC-8873-5B5EA5F72EA3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đợt 1: 130</t>
        </r>
      </text>
    </comment>
    <comment ref="R31" authorId="0" shapeId="0" xr:uid="{E552207C-AAAB-4162-985F-9BA3CDE9547A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đợt 1: 4,01
0,1
0,14</t>
        </r>
      </text>
    </comment>
    <comment ref="S31" authorId="0" shapeId="0" xr:uid="{D98C4D4F-F8D4-40F0-82BF-974D6633D233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ĐỢT 1: 27,1
0,64
0,32
</t>
        </r>
      </text>
    </comment>
    <comment ref="C32" authorId="0" shapeId="0" xr:uid="{0CEDFB65-E5BC-4836-99F2-B3398AC9EBB6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0,02</t>
        </r>
      </text>
    </comment>
    <comment ref="E32" authorId="0" shapeId="0" xr:uid="{16EEA239-3008-4A65-B3A8-4B7075856DC2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0,13
1,15
0,34</t>
        </r>
      </text>
    </comment>
    <comment ref="S32" authorId="0" shapeId="0" xr:uid="{E98C99C1-4AE5-4F34-92E3-26D004B22976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kph
</t>
        </r>
      </text>
    </comment>
    <comment ref="C33" authorId="0" shapeId="0" xr:uid="{CEA77AA0-9F84-4072-8CB2-87B135536DB9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0,40</t>
        </r>
      </text>
    </comment>
    <comment ref="D33" authorId="0" shapeId="0" xr:uid="{B818A5BF-241E-42AC-B8BB-FCEE2B7070CB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227
229</t>
        </r>
      </text>
    </comment>
    <comment ref="E33" authorId="0" shapeId="0" xr:uid="{1F0A7F17-EB59-4540-A127-7AEC71384FE9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0,40</t>
        </r>
      </text>
    </comment>
    <comment ref="S33" authorId="0" shapeId="0" xr:uid="{64A94398-ABA1-49C7-AAE5-2A04FAF941CA}">
      <text>
        <r>
          <rPr>
            <b/>
            <sz val="9"/>
            <rFont val="Arial"/>
            <family val="2"/>
            <charset val="163"/>
            <scheme val="minor"/>
          </rPr>
          <t>DELL:</t>
        </r>
        <r>
          <rPr>
            <sz val="9"/>
            <rFont val="Arial"/>
            <family val="2"/>
            <charset val="163"/>
            <scheme val="minor"/>
          </rPr>
          <t xml:space="preserve">
0,32
1,18</t>
        </r>
      </text>
    </comment>
  </commentList>
</comments>
</file>

<file path=xl/sharedStrings.xml><?xml version="1.0" encoding="utf-8"?>
<sst xmlns="http://schemas.openxmlformats.org/spreadsheetml/2006/main" count="808" uniqueCount="209">
  <si>
    <t>STT</t>
  </si>
  <si>
    <t>Kí hiệu mẫu</t>
  </si>
  <si>
    <t>pH</t>
  </si>
  <si>
    <t>DO</t>
  </si>
  <si>
    <t>TSS</t>
  </si>
  <si>
    <t>BOD</t>
  </si>
  <si>
    <t>COD</t>
  </si>
  <si>
    <t>NO3-</t>
  </si>
  <si>
    <t>PO43-</t>
  </si>
  <si>
    <t>NH4+</t>
  </si>
  <si>
    <t>Cl-</t>
  </si>
  <si>
    <t>Fe</t>
  </si>
  <si>
    <t>Coliforms</t>
  </si>
  <si>
    <t>Tọa độ X</t>
  </si>
  <si>
    <t>Tọa độ Y</t>
  </si>
  <si>
    <t>Vị trí lấy mẫu</t>
  </si>
  <si>
    <t>Ngày lấy mẫu</t>
  </si>
  <si>
    <t>Từ ngày</t>
  </si>
  <si>
    <t>Đến ngày</t>
  </si>
  <si>
    <t>(mg/l)</t>
  </si>
  <si>
    <t>mg/L</t>
  </si>
  <si>
    <t>MPN/100ml</t>
  </si>
  <si>
    <t>NM1</t>
  </si>
  <si>
    <t>KPH (&lt;0,004)</t>
  </si>
  <si>
    <t>108°29'45,00"</t>
  </si>
  <si>
    <t>15°15'42,00"</t>
  </si>
  <si>
    <t>Mẫu nước mặt lấy tại cầu Đỏ đoạn trước khi chảy qua thị trấn Trà Xuân, xã Trà Thủy, huyện Trà Bồng, tỉnh Quảng Ngãi</t>
  </si>
  <si>
    <t>NM2</t>
  </si>
  <si>
    <t>KPH (&lt;4)</t>
  </si>
  <si>
    <t>108°32'18,00"</t>
  </si>
  <si>
    <t>15°15'15,00"</t>
  </si>
  <si>
    <t>Mẫu nước mặt lấy tại sông Trà Bồng đoạn chảy qua thị trấn Trà Xuân, huyện Trà Bồng, tỉnh Quảng Ngãi</t>
  </si>
  <si>
    <t>NM17</t>
  </si>
  <si>
    <t>NM3</t>
  </si>
  <si>
    <t>108°45'19,01"</t>
  </si>
  <si>
    <t>15°17'59,51"</t>
  </si>
  <si>
    <t>Mẫu nước mặt Sông Trà Bồng cách cầu Châu Ổ khoảng 300 m về phía Tây, thị trấn Châu Ổ, huyện Bình Sơn</t>
  </si>
  <si>
    <t>NM4</t>
  </si>
  <si>
    <t>108°45'31,67"</t>
  </si>
  <si>
    <t>15°18'15,54"</t>
  </si>
  <si>
    <t>Mẫu nước mặt Sông Trà Bồng tại bến đò Châu Ổ (Cách cầu Châu Ổ khoảng 300 m về phía Đông), thị trấn Châu Ổ, huyện Bình Sơn, tỉnh Quảng Ngãi</t>
  </si>
  <si>
    <t>NM5</t>
  </si>
  <si>
    <t>108°46'30,42"</t>
  </si>
  <si>
    <t>15°23'08,18"</t>
  </si>
  <si>
    <t>Mẫu nước mặt Cửa biển Sa Cần, thôn Tân Hy, xã Bình Đông, huyện Bình Sơn, tỉnh Quảng Ngãi</t>
  </si>
  <si>
    <t>NM6</t>
  </si>
  <si>
    <t>108°33'41,00"</t>
  </si>
  <si>
    <t>14°44'22,00"</t>
  </si>
  <si>
    <t>Mẫu nước mặt lấy tại sông Re, thôn Mang Biều, xã Ba Tiêu, huyện Ba Tơ, tỉnh Quảng Ngãi</t>
  </si>
  <si>
    <t>NM7</t>
  </si>
  <si>
    <t>KPH (&lt;0,005)</t>
  </si>
  <si>
    <t>108°31'5,04"</t>
  </si>
  <si>
    <t>15°0'20,28"</t>
  </si>
  <si>
    <t xml:space="preserve">Mẫu nước mặt lấy tại nhập lưu sông Rinh và sông Re, xã Sơn Hải, huyện Sơn Hà, tỉnh Quảng Ngãi </t>
  </si>
  <si>
    <t>NM8</t>
  </si>
  <si>
    <t>108°37'12,00"</t>
  </si>
  <si>
    <t>15°07'10,00"</t>
  </si>
  <si>
    <t>Mẫu nước mặt lấy tại khu vực gần đập dâng kênh đầu mối Thạch Nham, huyện Tư Nghĩa, tỉnh Quảng Ngãi</t>
  </si>
  <si>
    <t>NM9</t>
  </si>
  <si>
    <t>108°47'10,04"</t>
  </si>
  <si>
    <t>15°08'08,08"</t>
  </si>
  <si>
    <t>Mẫu nước mặt Sông Trà Khúc tại Cầu Thạch Bích, trung đoạn Sông Trà Khúc, tỉnh Quảng Ngãi</t>
  </si>
  <si>
    <t>NM10</t>
  </si>
  <si>
    <t>108°49'3,91"</t>
  </si>
  <si>
    <t>15°7'34,40"</t>
  </si>
  <si>
    <t>Mẫu nước mặt lấy tại Bến Tam Thương (phía dưới cống Hào Thành), phường Lê Hồng Phong, thành phố Quảng Ngãi, tỉnh Quảng Ngãi</t>
  </si>
  <si>
    <t>NM13</t>
  </si>
  <si>
    <t>NM11</t>
  </si>
  <si>
    <t>108°53'19,00"</t>
  </si>
  <si>
    <t>15°08'30,00"</t>
  </si>
  <si>
    <t>Mẫu nước mặt Sông Trà Khúc tại cầu Cửa Đại, tp Quảng Ngãi, tỉnh Quảng Ngãi</t>
  </si>
  <si>
    <t>NM12</t>
  </si>
  <si>
    <t>108°42'41,00"</t>
  </si>
  <si>
    <t>14°45'17,00"</t>
  </si>
  <si>
    <t>Mẫu nước mặt lấy tại ngã Ba Chùa, thượng lưu thị trấn Ba Tơ, xã Ba Chùa, huyện Ba Tơ, tỉnh Quảng Ngãi</t>
  </si>
  <si>
    <t>108°43'42,00"</t>
  </si>
  <si>
    <t>14°45'35,00"</t>
  </si>
  <si>
    <t>Mẫu nước mặt lấy tại thượng nguồn Sông Vệ tại cầu sông Liên, thị trấn Ba Tơ, huyện Ba Tơ, tỉnh Quảng Ngãi</t>
  </si>
  <si>
    <t>NM20</t>
  </si>
  <si>
    <t>NM14</t>
  </si>
  <si>
    <t>108°46'26,02"</t>
  </si>
  <si>
    <t>14°57'44,07"</t>
  </si>
  <si>
    <t>Mẫu nước mặt sông Vệ tại cầu Cộng Hoà, xã Hành Thiện, huyện Nghĩa Hành, tỉnh Quảng Ngãi</t>
  </si>
  <si>
    <t>NM15</t>
  </si>
  <si>
    <t>108°51'02,8"</t>
  </si>
  <si>
    <t>15°02'25,00"</t>
  </si>
  <si>
    <t>Mẫu nước mặt lấy tại cầu Sông Vệ - Thị Trấn Sông Vệ - huyện Tư Nghĩa, tỉnh Quảng Ngãi</t>
  </si>
  <si>
    <t>NM16</t>
  </si>
  <si>
    <t>108°54'05,08"</t>
  </si>
  <si>
    <t>15°05'13,01"</t>
  </si>
  <si>
    <t>Mẫu nước mặt lấy tại hạ nguồn sông Vệ tại Cửa Lỡ, xã Đức Lợi, huyện Mộ Đức, tỉnh Quảng Ngãi</t>
  </si>
  <si>
    <t>108°52'11,03"</t>
  </si>
  <si>
    <t>14°51'05,02"</t>
  </si>
  <si>
    <t>Mẫu nước mặt lấy tại thượng nguồn sông Trà Câu, trên nhà máy đường Phổ Phong, Quốc Lộ 24A, xã Phổ Phong, thị xã Đức Phổ, tỉnh Quảng Ngãi</t>
  </si>
  <si>
    <t>NM18</t>
  </si>
  <si>
    <t>108°56'29,09"</t>
  </si>
  <si>
    <t>14°50'35,07"</t>
  </si>
  <si>
    <t>Mẫu nước mặt lấy tại cầu Trà Câu, phường Phổ Ninh, thị xã Đức Phổ, tỉnh Quảng Ngãi</t>
  </si>
  <si>
    <t>NM19</t>
  </si>
  <si>
    <t>108°59'49,54"</t>
  </si>
  <si>
    <t>14°49'51,85"</t>
  </si>
  <si>
    <t>Mẫu nước mặt lấy tại sông Trà Câu tại cửa biển Mỹ Á, thôn Hải Tân, phường Phổ Quang, thị xã Đức Phổ, tỉnh Quảng Ngãi</t>
  </si>
  <si>
    <t>108°46'40,00"</t>
  </si>
  <si>
    <t>15°05'22,00"</t>
  </si>
  <si>
    <t>Mẫu nước mặt sông Bàu Giang tại điểm cắt với đường cao tốc Đà Nẵng – Quảng Ngãi, thôn Điền Chánh, xã Nghĩa Điền, huyện Tư Nghĩa, tỉnh Quảng Ngãi</t>
  </si>
  <si>
    <t>NM21</t>
  </si>
  <si>
    <t>108°49'04,00"</t>
  </si>
  <si>
    <t>15°05'51,47"</t>
  </si>
  <si>
    <t>Mẫu nước mặt sông Bàu Giang tại cầu Bầu Giang, TT. La Hà, huyện Tư Nghĩa, tỉnh Quảng Ngãi</t>
  </si>
  <si>
    <t>NM22</t>
  </si>
  <si>
    <t>108°52'44,21"</t>
  </si>
  <si>
    <t>15°7'10,19"</t>
  </si>
  <si>
    <t>Mẫu nước mặt lấy tại hạ nguồn sông Bàu Giang tại cầu Hiền Lương, xã Nghĩa Hà, TP.Quảng Ngãi, tỉnh Quảng Ngãi</t>
  </si>
  <si>
    <t>NM23</t>
  </si>
  <si>
    <t>108°53'20,05"</t>
  </si>
  <si>
    <t>14°58'31,01"</t>
  </si>
  <si>
    <t>Mẫu nước mặt sông Thoa lấy tại điểm cắt với đường tránh thị trấn Mộ Đức, xã Đức Thạnh, huyện Mộ Đức, tỉnh Quảng Ngãi</t>
  </si>
  <si>
    <t>NM24</t>
  </si>
  <si>
    <t>108°56'21,00"</t>
  </si>
  <si>
    <t>14°53'32,07"</t>
  </si>
  <si>
    <t>Mẫu nước mặt sông Thoa lấy tại cầu Phổ An, xã Phổ An, thị xã Đức Phổ, tỉnh Quảng Ngãi</t>
  </si>
  <si>
    <t>NM25</t>
  </si>
  <si>
    <t>108°57'51,00"</t>
  </si>
  <si>
    <t>14°51'06,06"</t>
  </si>
  <si>
    <t>Mẫu nước mặt sông Thoa lấy tại cầu Đò Mốc, phường Phổ Quang, thị xã Đức Phổ, tỉnh Quảng Ngãi</t>
  </si>
  <si>
    <t>NM26</t>
  </si>
  <si>
    <t>108°47'33,09"</t>
  </si>
  <si>
    <t>15°11'52,03"</t>
  </si>
  <si>
    <t>Mẫu nước mặt Suối Bản Thuyền lấy tại cầu Bản Thuyền, xã Tịnh Phong, huyện Sơn Tịnh, tỉnh Quảng Ngãi</t>
  </si>
  <si>
    <t>NM27</t>
  </si>
  <si>
    <t>108°48'13,23"</t>
  </si>
  <si>
    <t>15°11'19,59"</t>
  </si>
  <si>
    <t>Mẫu nước mặt lấy tại Suối Bản Thuyền đoạn dưới KCN Tịnh Phong, xã Tịnh Phong, huyện Sơn Tịnh, tỉnh Quảng Ngãi</t>
  </si>
  <si>
    <t>NM28</t>
  </si>
  <si>
    <t>108°46'46,06"</t>
  </si>
  <si>
    <t>15°06'48,06"</t>
  </si>
  <si>
    <t>Mẫu nước mặt lấy tại hạ nguồn kênh Bàu Lăng, phường Quảng Phú, TP.Quảng Ngãi, tỉnh Quảng Ngãi</t>
  </si>
  <si>
    <t>NM29</t>
  </si>
  <si>
    <t>108°47'12,75"</t>
  </si>
  <si>
    <t>15°9'39,07"</t>
  </si>
  <si>
    <t>Mẫu nước mặt lấy tại hạ nguồn kênh Chìm phía dưới Cụm công nghiệp Tịnh Ấn Tây, xã Tịnh Ấn Tây, thành phố Quảng Ngãi, tỉnh Quảng Ngãi</t>
  </si>
  <si>
    <t>NM30</t>
  </si>
  <si>
    <t>108°24'44,00"</t>
  </si>
  <si>
    <t>15°05'05,00"</t>
  </si>
  <si>
    <t>Mẫu nước mặt lấy tại hồ chứa nước Nước Trong, xã Sơn Bao, huyện Sơn Hà, tỉnh Quảng Ngãi</t>
  </si>
  <si>
    <t>NM31</t>
  </si>
  <si>
    <t>109°02'50,86"</t>
  </si>
  <si>
    <t>14°43'04,05"</t>
  </si>
  <si>
    <t>Mẫu nước mặt lấy tại đầm An Khê, xã Phổ Khánh, thị xã Đức Phổ, tỉnh Quảng Ngãi</t>
  </si>
  <si>
    <t>Mẫu nước mặt Sông Trà Bồng cách cầu Châu Ổ khoảng 300 m về phía Tây, thị trấn Châu Ổ, huyện Bình Sơn, tỉnh Quảng Ngãi</t>
  </si>
  <si>
    <t>15°00'20,28"</t>
  </si>
  <si>
    <t>108°49'03,91"</t>
  </si>
  <si>
    <t>15°07'34,40"</t>
  </si>
  <si>
    <t>108°46'26,20"</t>
  </si>
  <si>
    <t>14°57'44,70"</t>
  </si>
  <si>
    <t>108°51'02,80"</t>
  </si>
  <si>
    <t>15°07'10,19"</t>
  </si>
  <si>
    <t>KPH (&lt;0,03)</t>
  </si>
  <si>
    <t>108°31'05,04"</t>
  </si>
  <si>
    <t>15°09'39,07"</t>
  </si>
  <si>
    <t>AMONI</t>
  </si>
  <si>
    <t>CLORUA</t>
  </si>
  <si>
    <r>
      <t>NO</t>
    </r>
    <r>
      <rPr>
        <b/>
        <vertAlign val="subscript"/>
        <sz val="13"/>
        <rFont val="Times New Roman"/>
        <charset val="134"/>
      </rPr>
      <t>2</t>
    </r>
    <r>
      <rPr>
        <b/>
        <vertAlign val="superscript"/>
        <sz val="13"/>
        <rFont val="Times New Roman"/>
        <charset val="134"/>
      </rPr>
      <t>-</t>
    </r>
  </si>
  <si>
    <t>Pb</t>
  </si>
  <si>
    <t>Cu</t>
  </si>
  <si>
    <t>Cr VI</t>
  </si>
  <si>
    <t xml:space="preserve">TỔNG DẦU </t>
  </si>
  <si>
    <t>E.COLI</t>
  </si>
  <si>
    <t>TOC</t>
  </si>
  <si>
    <t>TỔNG P</t>
  </si>
  <si>
    <t>TỔNG N</t>
  </si>
  <si>
    <t>COLIFORM</t>
  </si>
  <si>
    <t>KPH (&lt;0,006 )</t>
  </si>
  <si>
    <t>KPH (&lt;0,001)</t>
  </si>
  <si>
    <t>KPH (&lt;1,41)</t>
  </si>
  <si>
    <t>KPH (&lt;0,08)</t>
  </si>
  <si>
    <t>Mẫu nước mặt lấy tại cầu Đỏ xã Trà Bồng, tỉnh Quảng Ngãi</t>
  </si>
  <si>
    <t>Mẫu nước mặt lấy tại sông Trà Bồng đoạn chảy qua cầu Trà Xuân, xã Trà Bồng, tỉnh Quảng Ngãi</t>
  </si>
  <si>
    <t>Mẫu nước mặt Sông Trà Bồng cách cầu Châu Ổ khoảng 300 m về phía Tây, xã Bình Sơn, tỉnh Quảng Ngãi</t>
  </si>
  <si>
    <t>Mẫu nước mặt Sông Trà Bồng tại bến đò Châu Ổ (Cách cầu Châu Ổ khoảng 300 m về phía Đông),xã Bình Sơn, tỉnh Quảng Ngãi</t>
  </si>
  <si>
    <t>Mẫu nước mặt Cửa biển Sa Cần, thôn Tân Hy, xã Vạn Tường, tỉnh Quảng Ngãi</t>
  </si>
  <si>
    <t>Mẫu nước mặt lấy tại sông Re, thôn Mang Biều, xã Ba Vì, tỉnh Quảng Ngãi</t>
  </si>
  <si>
    <t xml:space="preserve">Mẫu nước mặt lấy tại nhập lưu sông Rinh và sông Re, xã Sơn Linh, tỉnh Quảng Ngãi </t>
  </si>
  <si>
    <t>Mẫu nước mặt lấy tại khu vực gần đập dâng kênh đầu mối Thạch Nham, xã Trà Giang, tỉnh Quảng Ngãi</t>
  </si>
  <si>
    <t>Mẫu nước mặt Sông Trà Khúc tại Cầu Thạch Bích, trung đoạn Sông Trà Khúc, phường Nghĩa Lộ, tỉnh Quảng Ngãi</t>
  </si>
  <si>
    <t>Mẫu nước mặt lấy tại Bến Tam Thương (phía dưới cống Hào Thành), phường Nghĩa Lộ, tỉnh Quảng Ngãi</t>
  </si>
  <si>
    <t>Mẫu nước mặt Sông Trà Khúc tại cửa biển Cửa Đại, xã An Phú, tỉnh Quảng Ngãi</t>
  </si>
  <si>
    <t>Mẫu nước mặt lấy tại ngã Ba Chùa, thượng lưu xã Ba Tơ, xã Ba Tơ, tỉnh Quảng Ngãi</t>
  </si>
  <si>
    <t>Mẫu nước mặt lấy tại thượng nguồn Sông Vệ tại cầu sông Liên, xã Ba Tơ, tỉnh Quảng Ngãi</t>
  </si>
  <si>
    <t>Mẫu nước mặt sông Vệ tại cầu Cộng Hoà, xã Thiện Tín, tỉnh Quảng Ngãi</t>
  </si>
  <si>
    <t>Mẫu nước mặt lấy tại cầu Sông Vệ, xã Vệ Giang, tỉnh Quảng Ngãi</t>
  </si>
  <si>
    <t>Mẫu nước mặt lấy tại hạ nguồn sông Vệ tại Cửa Lỡ, xã Long Phụng, tỉnh Quảng Ngãi</t>
  </si>
  <si>
    <t>Mẫu nước mặt lấy tại thượng nguồn sông Trà Câu, trên nhà máy đường Phổ Phong, Quốc Lộ 24A, xã Nguyễn Nghiêm, tỉnh Quảng Ngãi</t>
  </si>
  <si>
    <t>Mẫu nước mặt sông Trà Câu tại cầu Trà Câu, phường Đức Phổ, tỉnh Quảng Ngãi</t>
  </si>
  <si>
    <t>108°53'49,54"</t>
  </si>
  <si>
    <t>Mẫu nước mặt lấy tại sông Trà Câu tại cửa biển Mỹ Á, thôn Hải Tân, phường Trà Câu, tỉnh Quảng Ngãi</t>
  </si>
  <si>
    <t>Mẫu nước mặt sông Bàu Giang tại điểm cắt với đường cao tốc Đà Nẵng – Quảng Ngãi, thôn Điền Chánh, xã Nghĩa Giang, tỉnh Quảng Ngãi</t>
  </si>
  <si>
    <t>Mẫu nước mặt sông Bàu Giang tại cầu Bàu Giang, xã Tư Nghĩa, tỉnh Quảng Ngãi</t>
  </si>
  <si>
    <t>Mẫu nước mặt lấy tại hạ nguồn sông Bàu Giang tại cầu Hiền Lương, xã An Phú, tỉnh Quảng Ngãi</t>
  </si>
  <si>
    <r>
      <t xml:space="preserve">Mẫu nước mặt </t>
    </r>
    <r>
      <rPr>
        <sz val="12"/>
        <color indexed="10"/>
        <rFont val="Times New Roman"/>
        <charset val="134"/>
      </rPr>
      <t xml:space="preserve">sông Thoa </t>
    </r>
    <r>
      <rPr>
        <sz val="12"/>
        <rFont val="Times New Roman"/>
        <charset val="134"/>
      </rPr>
      <t>lấy tại điểm cắt với đường tránh tại cầu Đập, xã Mỏ Cày, tỉnh Quảng Ngãi</t>
    </r>
  </si>
  <si>
    <t>Mẫu nước mặt sông Thoa lấy tại cầu Phổ An, phường Trà Câu, tỉnh Quảng Ngãi</t>
  </si>
  <si>
    <r>
      <t>Mẫu nước mặt</t>
    </r>
    <r>
      <rPr>
        <sz val="12"/>
        <color indexed="10"/>
        <rFont val="Times New Roman"/>
        <charset val="134"/>
      </rPr>
      <t xml:space="preserve"> sông Thoa </t>
    </r>
    <r>
      <rPr>
        <sz val="12"/>
        <rFont val="Times New Roman"/>
        <charset val="134"/>
      </rPr>
      <t>lấy tại cầu Đò Mốc, phường Trà Câu, tỉnh Quảng Ngãi</t>
    </r>
  </si>
  <si>
    <t>Mẫu nước mặt Suối Bản Thuyền lấy tại cầu Bản Thuyền, xã Thọ Phong, tỉnh Quảng Ngãi</t>
  </si>
  <si>
    <r>
      <t>Mẫu nước mặt lấy tại Suối Bản Thuyền</t>
    </r>
    <r>
      <rPr>
        <sz val="12"/>
        <color indexed="10"/>
        <rFont val="Times New Roman"/>
        <charset val="134"/>
      </rPr>
      <t xml:space="preserve"> </t>
    </r>
    <r>
      <rPr>
        <sz val="12"/>
        <rFont val="Times New Roman"/>
        <charset val="134"/>
      </rPr>
      <t>đoạn dưới KCN Tịnh Phong, xã Thọ Phong, tỉnh Quảng Ngãi</t>
    </r>
  </si>
  <si>
    <t>Mẫu nước mặt lấy tại hạ nguồn kênh Bàu Lăng, phường Nghĩa Lộ, tỉnh Quảng Ngãi</t>
  </si>
  <si>
    <t>Mẫu nước mặt lấy tại hạ nguồn kênh Chìm phía dưới Cụm công nghiệp Tịnh Ấn Tây, phường Trương Quang Trọng, tỉnh Quảng Ngãi</t>
  </si>
  <si>
    <t>Mẫu nước mặt lấy tại hồ chứa nước Nước Trong, xã Sơn Hà, tỉnh Quảng Ngãi</t>
  </si>
  <si>
    <t>Mẫu nước mặt lấy tại đầm An Khê, xã Khánh Cường, tỉnh Quảng Ngãi</t>
  </si>
  <si>
    <r>
      <t>4,3 x 10</t>
    </r>
    <r>
      <rPr>
        <b/>
        <vertAlign val="superscript"/>
        <sz val="12"/>
        <rFont val="Times New Roman"/>
        <family val="1"/>
      </rPr>
      <t>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</si>
</sst>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[$-1010000]d/m/yyyy;@"/>
    <numFmt numFmtId="167" formatCode="_(* #,##0_);_(* \(#,##0\);_(* &quot;-&quot;??_);_(@_)"/>
    <numFmt numFmtId="168" formatCode="dd/mm/yyyy;@"/>
  </numFmts>
  <fonts count="15">
    <font>
      <sz val="11"/>
      <color theme="1"/>
      <name val="Arial"/>
      <family val="2"/>
      <charset val="163"/>
      <scheme val="minor"/>
    </font>
    <font>
      <sz val="13"/>
      <name val="Times New Roman"/>
      <charset val="134"/>
    </font>
    <font>
      <b/>
      <sz val="13"/>
      <name val="Times New Roman"/>
      <charset val="134"/>
    </font>
    <font>
      <sz val="12"/>
      <name val="Times New Roman"/>
      <charset val="134"/>
    </font>
    <font>
      <sz val="12"/>
      <color indexed="10"/>
      <name val="Times New Roman"/>
      <charset val="134"/>
    </font>
    <font>
      <b/>
      <sz val="12"/>
      <name val="Times New Roman"/>
      <charset val="134"/>
    </font>
    <font>
      <b/>
      <sz val="9"/>
      <name val="Arial"/>
      <family val="2"/>
      <charset val="163"/>
      <scheme val="minor"/>
    </font>
    <font>
      <sz val="9"/>
      <name val="Arial"/>
      <family val="2"/>
      <charset val="163"/>
      <scheme val="minor"/>
    </font>
    <font>
      <b/>
      <vertAlign val="subscript"/>
      <sz val="13"/>
      <name val="Times New Roman"/>
      <charset val="134"/>
    </font>
    <font>
      <b/>
      <vertAlign val="superscript"/>
      <sz val="13"/>
      <name val="Times New Roman"/>
      <charset val="134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5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168" fontId="3" fillId="5" borderId="1" xfId="0" applyNumberFormat="1" applyFont="1" applyFill="1" applyBorder="1" applyAlignment="1">
      <alignment horizontal="center" vertical="center"/>
    </xf>
    <xf numFmtId="168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6" fontId="10" fillId="0" borderId="3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" fillId="5" borderId="3" xfId="0" applyNumberFormat="1" applyFont="1" applyFill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 wrapText="1"/>
    </xf>
    <xf numFmtId="1" fontId="2" fillId="5" borderId="3" xfId="0" applyNumberFormat="1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164" fontId="2" fillId="5" borderId="3" xfId="0" applyNumberFormat="1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/>
    </xf>
    <xf numFmtId="164" fontId="2" fillId="5" borderId="4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1853-193F-4195-B23F-7AAC9B1B904E}">
  <dimension ref="A1:S33"/>
  <sheetViews>
    <sheetView workbookViewId="0">
      <selection activeCell="Q6" sqref="Q6"/>
    </sheetView>
  </sheetViews>
  <sheetFormatPr defaultColWidth="27.25" defaultRowHeight="16.5"/>
  <cols>
    <col min="1" max="1" width="4.875" style="1" bestFit="1" customWidth="1"/>
    <col min="2" max="2" width="12.1875" style="1" bestFit="1" customWidth="1"/>
    <col min="3" max="3" width="4.6875" style="1" bestFit="1" customWidth="1"/>
    <col min="4" max="4" width="6.3125" style="1" bestFit="1" customWidth="1"/>
    <col min="5" max="5" width="5.6875" style="1" bestFit="1" customWidth="1"/>
    <col min="6" max="8" width="6.3125" style="1" bestFit="1" customWidth="1"/>
    <col min="9" max="10" width="12.125" style="1" bestFit="1" customWidth="1"/>
    <col min="11" max="11" width="8.625" style="1" bestFit="1" customWidth="1"/>
    <col min="12" max="12" width="6.3125" style="1" bestFit="1" customWidth="1"/>
    <col min="13" max="13" width="11.75" style="1" bestFit="1" customWidth="1"/>
    <col min="14" max="14" width="12.0625" style="1" bestFit="1" customWidth="1"/>
    <col min="15" max="15" width="11.0625" style="1" bestFit="1" customWidth="1"/>
    <col min="16" max="16" width="27.25" style="1"/>
    <col min="17" max="17" width="13.625" style="1" bestFit="1" customWidth="1"/>
    <col min="18" max="19" width="9.8125" style="1" bestFit="1" customWidth="1"/>
    <col min="20" max="16384" width="27.25" style="1"/>
  </cols>
  <sheetData>
    <row r="1" spans="1:19">
      <c r="A1" s="103" t="s">
        <v>0</v>
      </c>
      <c r="B1" s="105" t="s">
        <v>1</v>
      </c>
      <c r="C1" s="71" t="s">
        <v>2</v>
      </c>
      <c r="D1" s="71" t="s">
        <v>3</v>
      </c>
      <c r="E1" s="71" t="s">
        <v>4</v>
      </c>
      <c r="F1" s="72" t="s">
        <v>5</v>
      </c>
      <c r="G1" s="71" t="s">
        <v>6</v>
      </c>
      <c r="H1" s="73" t="s">
        <v>7</v>
      </c>
      <c r="I1" s="73" t="s">
        <v>8</v>
      </c>
      <c r="J1" s="73" t="s">
        <v>9</v>
      </c>
      <c r="K1" s="72" t="s">
        <v>10</v>
      </c>
      <c r="L1" s="73" t="s">
        <v>11</v>
      </c>
      <c r="M1" s="74" t="s">
        <v>12</v>
      </c>
      <c r="N1" s="103" t="s">
        <v>13</v>
      </c>
      <c r="O1" s="103" t="s">
        <v>14</v>
      </c>
      <c r="P1" s="107" t="s">
        <v>15</v>
      </c>
      <c r="Q1" s="101" t="s">
        <v>16</v>
      </c>
      <c r="R1" s="101" t="s">
        <v>17</v>
      </c>
      <c r="S1" s="101" t="s">
        <v>18</v>
      </c>
    </row>
    <row r="2" spans="1:19">
      <c r="A2" s="104"/>
      <c r="B2" s="106"/>
      <c r="C2" s="71"/>
      <c r="D2" s="71" t="s">
        <v>19</v>
      </c>
      <c r="E2" s="71" t="s">
        <v>20</v>
      </c>
      <c r="F2" s="72" t="s">
        <v>19</v>
      </c>
      <c r="G2" s="71" t="s">
        <v>19</v>
      </c>
      <c r="H2" s="73" t="s">
        <v>19</v>
      </c>
      <c r="I2" s="71" t="s">
        <v>20</v>
      </c>
      <c r="J2" s="73" t="s">
        <v>19</v>
      </c>
      <c r="K2" s="72" t="s">
        <v>19</v>
      </c>
      <c r="L2" s="73" t="s">
        <v>19</v>
      </c>
      <c r="M2" s="75" t="s">
        <v>21</v>
      </c>
      <c r="N2" s="104"/>
      <c r="O2" s="104"/>
      <c r="P2" s="108"/>
      <c r="Q2" s="102"/>
      <c r="R2" s="102"/>
      <c r="S2" s="102"/>
    </row>
    <row r="3" spans="1:19" ht="61.5">
      <c r="A3" s="74">
        <v>1</v>
      </c>
      <c r="B3" s="76" t="s">
        <v>22</v>
      </c>
      <c r="C3" s="76">
        <v>6.82</v>
      </c>
      <c r="D3" s="76">
        <v>7.33</v>
      </c>
      <c r="E3" s="76">
        <v>2</v>
      </c>
      <c r="F3" s="76">
        <v>5</v>
      </c>
      <c r="G3" s="76">
        <v>9</v>
      </c>
      <c r="H3" s="76">
        <v>0.27</v>
      </c>
      <c r="I3" s="77" t="s">
        <v>23</v>
      </c>
      <c r="J3" s="76">
        <v>0.03</v>
      </c>
      <c r="K3" s="76">
        <v>4</v>
      </c>
      <c r="L3" s="78">
        <v>0.04</v>
      </c>
      <c r="M3" s="76">
        <v>930</v>
      </c>
      <c r="N3" s="76" t="s">
        <v>24</v>
      </c>
      <c r="O3" s="76" t="s">
        <v>25</v>
      </c>
      <c r="P3" s="79" t="s">
        <v>26</v>
      </c>
      <c r="Q3" s="80"/>
      <c r="R3" s="81">
        <f t="shared" ref="R3:R33" si="0">Q3</f>
        <v>0</v>
      </c>
      <c r="S3" s="80">
        <f t="shared" ref="S3:S33" si="1">R3+7</f>
        <v>7</v>
      </c>
    </row>
    <row r="4" spans="1:19" ht="61.5">
      <c r="A4" s="74">
        <v>2</v>
      </c>
      <c r="B4" s="76" t="s">
        <v>27</v>
      </c>
      <c r="C4" s="76">
        <v>6.91</v>
      </c>
      <c r="D4" s="76">
        <v>7.13</v>
      </c>
      <c r="E4" s="76">
        <v>3</v>
      </c>
      <c r="F4" s="76">
        <v>4</v>
      </c>
      <c r="G4" s="76">
        <v>8</v>
      </c>
      <c r="H4" s="76">
        <v>0.28000000000000003</v>
      </c>
      <c r="I4" s="77">
        <v>0.01</v>
      </c>
      <c r="J4" s="76">
        <v>0.02</v>
      </c>
      <c r="K4" s="76" t="s">
        <v>28</v>
      </c>
      <c r="L4" s="76">
        <v>7.0000000000000007E-2</v>
      </c>
      <c r="M4" s="76">
        <v>1500</v>
      </c>
      <c r="N4" s="76" t="s">
        <v>29</v>
      </c>
      <c r="O4" s="76" t="s">
        <v>30</v>
      </c>
      <c r="P4" s="77" t="s">
        <v>31</v>
      </c>
      <c r="Q4" s="80"/>
      <c r="R4" s="81">
        <f t="shared" si="0"/>
        <v>0</v>
      </c>
      <c r="S4" s="80">
        <f t="shared" si="1"/>
        <v>7</v>
      </c>
    </row>
    <row r="5" spans="1:19" ht="61.5">
      <c r="A5" s="74">
        <v>3</v>
      </c>
      <c r="B5" s="76" t="s">
        <v>33</v>
      </c>
      <c r="C5" s="76">
        <v>7.15</v>
      </c>
      <c r="D5" s="76">
        <v>6.82</v>
      </c>
      <c r="E5" s="76">
        <v>4</v>
      </c>
      <c r="F5" s="76">
        <v>6</v>
      </c>
      <c r="G5" s="76">
        <v>10</v>
      </c>
      <c r="H5" s="76">
        <v>0.27</v>
      </c>
      <c r="I5" s="76" t="s">
        <v>23</v>
      </c>
      <c r="J5" s="76">
        <v>0.02</v>
      </c>
      <c r="K5" s="77">
        <v>6</v>
      </c>
      <c r="L5" s="76">
        <v>1.19</v>
      </c>
      <c r="M5" s="76">
        <v>43</v>
      </c>
      <c r="N5" s="76" t="s">
        <v>34</v>
      </c>
      <c r="O5" s="76" t="s">
        <v>35</v>
      </c>
      <c r="P5" s="77" t="s">
        <v>36</v>
      </c>
      <c r="Q5" s="80"/>
      <c r="R5" s="81">
        <f t="shared" si="0"/>
        <v>0</v>
      </c>
      <c r="S5" s="80">
        <f t="shared" si="1"/>
        <v>7</v>
      </c>
    </row>
    <row r="6" spans="1:19" ht="76.900000000000006">
      <c r="A6" s="74">
        <v>4</v>
      </c>
      <c r="B6" s="76" t="s">
        <v>37</v>
      </c>
      <c r="C6" s="76">
        <v>7.04</v>
      </c>
      <c r="D6" s="76">
        <v>6.78</v>
      </c>
      <c r="E6" s="76">
        <v>5</v>
      </c>
      <c r="F6" s="76">
        <v>4</v>
      </c>
      <c r="G6" s="76">
        <v>7</v>
      </c>
      <c r="H6" s="76">
        <v>0.34</v>
      </c>
      <c r="I6" s="76">
        <v>0.02</v>
      </c>
      <c r="J6" s="76">
        <v>0.02</v>
      </c>
      <c r="K6" s="77">
        <v>5</v>
      </c>
      <c r="L6" s="78">
        <v>0.3</v>
      </c>
      <c r="M6" s="76">
        <v>240</v>
      </c>
      <c r="N6" s="76" t="s">
        <v>38</v>
      </c>
      <c r="O6" s="76" t="s">
        <v>39</v>
      </c>
      <c r="P6" s="77" t="s">
        <v>40</v>
      </c>
      <c r="Q6" s="80"/>
      <c r="R6" s="81">
        <f t="shared" si="0"/>
        <v>0</v>
      </c>
      <c r="S6" s="80">
        <f t="shared" si="1"/>
        <v>7</v>
      </c>
    </row>
    <row r="7" spans="1:19" ht="61.5">
      <c r="A7" s="74">
        <v>5</v>
      </c>
      <c r="B7" s="76" t="s">
        <v>41</v>
      </c>
      <c r="C7" s="76">
        <v>7.21</v>
      </c>
      <c r="D7" s="76">
        <v>6.31</v>
      </c>
      <c r="E7" s="76">
        <v>6</v>
      </c>
      <c r="F7" s="76">
        <v>5</v>
      </c>
      <c r="G7" s="76">
        <v>8</v>
      </c>
      <c r="H7" s="76">
        <v>0.28000000000000003</v>
      </c>
      <c r="I7" s="76" t="s">
        <v>23</v>
      </c>
      <c r="J7" s="82">
        <v>7.0000000000000007E-2</v>
      </c>
      <c r="K7" s="76">
        <v>5355</v>
      </c>
      <c r="L7" s="76">
        <v>0.32</v>
      </c>
      <c r="M7" s="76">
        <v>9300</v>
      </c>
      <c r="N7" s="76" t="s">
        <v>42</v>
      </c>
      <c r="O7" s="76" t="s">
        <v>43</v>
      </c>
      <c r="P7" s="77" t="s">
        <v>44</v>
      </c>
      <c r="Q7" s="80"/>
      <c r="R7" s="81">
        <f t="shared" si="0"/>
        <v>0</v>
      </c>
      <c r="S7" s="80">
        <f t="shared" si="1"/>
        <v>7</v>
      </c>
    </row>
    <row r="8" spans="1:19" ht="46.15">
      <c r="A8" s="74">
        <v>6</v>
      </c>
      <c r="B8" s="76" t="s">
        <v>45</v>
      </c>
      <c r="C8" s="76">
        <v>6.92</v>
      </c>
      <c r="D8" s="76">
        <v>7.15</v>
      </c>
      <c r="E8" s="76">
        <v>6</v>
      </c>
      <c r="F8" s="76">
        <v>4</v>
      </c>
      <c r="G8" s="76">
        <v>9</v>
      </c>
      <c r="H8" s="78">
        <v>0.04</v>
      </c>
      <c r="I8" s="78" t="s">
        <v>23</v>
      </c>
      <c r="J8" s="76">
        <v>0.01</v>
      </c>
      <c r="K8" s="76" t="s">
        <v>28</v>
      </c>
      <c r="L8" s="76">
        <v>0.16</v>
      </c>
      <c r="M8" s="76">
        <v>430</v>
      </c>
      <c r="N8" s="76" t="s">
        <v>46</v>
      </c>
      <c r="O8" s="76" t="s">
        <v>47</v>
      </c>
      <c r="P8" s="77" t="s">
        <v>48</v>
      </c>
      <c r="Q8" s="80"/>
      <c r="R8" s="81">
        <f t="shared" si="0"/>
        <v>0</v>
      </c>
      <c r="S8" s="80">
        <f t="shared" si="1"/>
        <v>7</v>
      </c>
    </row>
    <row r="9" spans="1:19" ht="61.5">
      <c r="A9" s="74">
        <v>7</v>
      </c>
      <c r="B9" s="76" t="s">
        <v>49</v>
      </c>
      <c r="C9" s="76">
        <v>7.13</v>
      </c>
      <c r="D9" s="76">
        <v>6.83</v>
      </c>
      <c r="E9" s="76">
        <v>3</v>
      </c>
      <c r="F9" s="76">
        <v>7</v>
      </c>
      <c r="G9" s="76">
        <v>10</v>
      </c>
      <c r="H9" s="78">
        <v>0.16</v>
      </c>
      <c r="I9" s="76" t="s">
        <v>23</v>
      </c>
      <c r="J9" s="76" t="s">
        <v>50</v>
      </c>
      <c r="K9" s="76" t="s">
        <v>28</v>
      </c>
      <c r="L9" s="78">
        <v>0.11</v>
      </c>
      <c r="M9" s="76">
        <v>240</v>
      </c>
      <c r="N9" s="76" t="s">
        <v>51</v>
      </c>
      <c r="O9" s="76" t="s">
        <v>52</v>
      </c>
      <c r="P9" s="77" t="s">
        <v>53</v>
      </c>
      <c r="Q9" s="80"/>
      <c r="R9" s="81">
        <f t="shared" si="0"/>
        <v>0</v>
      </c>
      <c r="S9" s="80">
        <f t="shared" si="1"/>
        <v>7</v>
      </c>
    </row>
    <row r="10" spans="1:19" ht="61.5">
      <c r="A10" s="74">
        <v>8</v>
      </c>
      <c r="B10" s="76" t="s">
        <v>54</v>
      </c>
      <c r="C10" s="76">
        <v>7.34</v>
      </c>
      <c r="D10" s="78">
        <v>6.7233333333333301</v>
      </c>
      <c r="E10" s="76">
        <v>4</v>
      </c>
      <c r="F10" s="76">
        <v>6</v>
      </c>
      <c r="G10" s="76">
        <v>11</v>
      </c>
      <c r="H10" s="76">
        <v>0.17</v>
      </c>
      <c r="I10" s="76" t="s">
        <v>23</v>
      </c>
      <c r="J10" s="76">
        <v>0.01</v>
      </c>
      <c r="K10" s="76" t="s">
        <v>28</v>
      </c>
      <c r="L10" s="76">
        <v>0.09</v>
      </c>
      <c r="M10" s="76">
        <v>430</v>
      </c>
      <c r="N10" s="76" t="s">
        <v>55</v>
      </c>
      <c r="O10" s="76" t="s">
        <v>56</v>
      </c>
      <c r="P10" s="83" t="s">
        <v>57</v>
      </c>
      <c r="Q10" s="80"/>
      <c r="R10" s="81">
        <f t="shared" si="0"/>
        <v>0</v>
      </c>
      <c r="S10" s="80">
        <f t="shared" si="1"/>
        <v>7</v>
      </c>
    </row>
    <row r="11" spans="1:19" ht="46.15">
      <c r="A11" s="74">
        <v>9</v>
      </c>
      <c r="B11" s="76" t="s">
        <v>58</v>
      </c>
      <c r="C11" s="76">
        <v>7.72</v>
      </c>
      <c r="D11" s="76">
        <v>6.21</v>
      </c>
      <c r="E11" s="76">
        <v>12</v>
      </c>
      <c r="F11" s="76">
        <v>5</v>
      </c>
      <c r="G11" s="76">
        <v>10</v>
      </c>
      <c r="H11" s="76">
        <v>0.25</v>
      </c>
      <c r="I11" s="77">
        <v>0.01</v>
      </c>
      <c r="J11" s="76">
        <v>0.01</v>
      </c>
      <c r="K11" s="76" t="s">
        <v>28</v>
      </c>
      <c r="L11" s="76">
        <v>0.23</v>
      </c>
      <c r="M11" s="76">
        <v>430</v>
      </c>
      <c r="N11" s="76" t="s">
        <v>59</v>
      </c>
      <c r="O11" s="76" t="s">
        <v>60</v>
      </c>
      <c r="P11" s="77" t="s">
        <v>61</v>
      </c>
      <c r="Q11" s="80"/>
      <c r="R11" s="81">
        <f t="shared" si="0"/>
        <v>0</v>
      </c>
      <c r="S11" s="80">
        <f t="shared" si="1"/>
        <v>7</v>
      </c>
    </row>
    <row r="12" spans="1:19" ht="76.900000000000006">
      <c r="A12" s="74">
        <v>10</v>
      </c>
      <c r="B12" s="76" t="s">
        <v>62</v>
      </c>
      <c r="C12" s="76">
        <v>7.72</v>
      </c>
      <c r="D12" s="76">
        <v>6.21</v>
      </c>
      <c r="E12" s="76">
        <v>14</v>
      </c>
      <c r="F12" s="76">
        <v>6</v>
      </c>
      <c r="G12" s="76">
        <v>9</v>
      </c>
      <c r="H12" s="76">
        <v>0.23</v>
      </c>
      <c r="I12" s="76">
        <v>0.03</v>
      </c>
      <c r="J12" s="76">
        <v>0.03</v>
      </c>
      <c r="K12" s="84" t="s">
        <v>28</v>
      </c>
      <c r="L12" s="78">
        <v>0.19</v>
      </c>
      <c r="M12" s="76">
        <v>240</v>
      </c>
      <c r="N12" s="76" t="s">
        <v>63</v>
      </c>
      <c r="O12" s="76" t="s">
        <v>64</v>
      </c>
      <c r="P12" s="77" t="s">
        <v>65</v>
      </c>
      <c r="Q12" s="80"/>
      <c r="R12" s="81">
        <f t="shared" si="0"/>
        <v>0</v>
      </c>
      <c r="S12" s="80">
        <f t="shared" si="1"/>
        <v>7</v>
      </c>
    </row>
    <row r="13" spans="1:19" ht="46.15">
      <c r="A13" s="74">
        <v>11</v>
      </c>
      <c r="B13" s="76" t="s">
        <v>67</v>
      </c>
      <c r="C13" s="76">
        <v>7.72</v>
      </c>
      <c r="D13" s="76">
        <v>6.21</v>
      </c>
      <c r="E13" s="76">
        <v>5</v>
      </c>
      <c r="F13" s="76">
        <v>11</v>
      </c>
      <c r="G13" s="76">
        <v>19</v>
      </c>
      <c r="H13" s="78">
        <v>0.19</v>
      </c>
      <c r="I13" s="77">
        <v>0.01</v>
      </c>
      <c r="J13" s="76">
        <v>7.0000000000000007E-2</v>
      </c>
      <c r="K13" s="84">
        <v>6887</v>
      </c>
      <c r="L13" s="76">
        <v>0.15</v>
      </c>
      <c r="M13" s="76">
        <v>930</v>
      </c>
      <c r="N13" s="76" t="s">
        <v>68</v>
      </c>
      <c r="O13" s="76" t="s">
        <v>69</v>
      </c>
      <c r="P13" s="77" t="s">
        <v>70</v>
      </c>
      <c r="Q13" s="80"/>
      <c r="R13" s="81">
        <f t="shared" si="0"/>
        <v>0</v>
      </c>
      <c r="S13" s="80">
        <f t="shared" si="1"/>
        <v>7</v>
      </c>
    </row>
    <row r="14" spans="1:19" ht="61.5">
      <c r="A14" s="74">
        <v>12</v>
      </c>
      <c r="B14" s="76" t="s">
        <v>71</v>
      </c>
      <c r="C14" s="78">
        <v>7.43333333333333</v>
      </c>
      <c r="D14" s="76">
        <v>6.08</v>
      </c>
      <c r="E14" s="76">
        <v>5</v>
      </c>
      <c r="F14" s="76">
        <v>6</v>
      </c>
      <c r="G14" s="76">
        <v>10</v>
      </c>
      <c r="H14" s="78">
        <v>0.26</v>
      </c>
      <c r="I14" s="76">
        <v>0.01</v>
      </c>
      <c r="J14" s="76">
        <v>0.01</v>
      </c>
      <c r="K14" s="76">
        <v>5</v>
      </c>
      <c r="L14" s="76">
        <v>0.15</v>
      </c>
      <c r="M14" s="76">
        <v>2400</v>
      </c>
      <c r="N14" s="76" t="s">
        <v>72</v>
      </c>
      <c r="O14" s="76" t="s">
        <v>73</v>
      </c>
      <c r="P14" s="79" t="s">
        <v>74</v>
      </c>
      <c r="Q14" s="80"/>
      <c r="R14" s="81">
        <f t="shared" si="0"/>
        <v>0</v>
      </c>
      <c r="S14" s="80">
        <f t="shared" si="1"/>
        <v>7</v>
      </c>
    </row>
    <row r="15" spans="1:19" ht="61.5">
      <c r="A15" s="74">
        <v>13</v>
      </c>
      <c r="B15" s="76" t="s">
        <v>66</v>
      </c>
      <c r="C15" s="76">
        <v>7.62</v>
      </c>
      <c r="D15" s="76">
        <v>6.96</v>
      </c>
      <c r="E15" s="76">
        <v>4</v>
      </c>
      <c r="F15" s="76">
        <v>5</v>
      </c>
      <c r="G15" s="76">
        <v>8</v>
      </c>
      <c r="H15" s="76">
        <v>0.11</v>
      </c>
      <c r="I15" s="76" t="s">
        <v>23</v>
      </c>
      <c r="J15" s="76">
        <v>0.01</v>
      </c>
      <c r="K15" s="76">
        <v>4</v>
      </c>
      <c r="L15" s="76">
        <v>0.11</v>
      </c>
      <c r="M15" s="76">
        <v>240</v>
      </c>
      <c r="N15" s="76" t="s">
        <v>75</v>
      </c>
      <c r="O15" s="76" t="s">
        <v>76</v>
      </c>
      <c r="P15" s="77" t="s">
        <v>77</v>
      </c>
      <c r="Q15" s="80"/>
      <c r="R15" s="81">
        <f t="shared" si="0"/>
        <v>0</v>
      </c>
      <c r="S15" s="80">
        <f t="shared" si="1"/>
        <v>7</v>
      </c>
    </row>
    <row r="16" spans="1:19" ht="61.5">
      <c r="A16" s="74">
        <v>14</v>
      </c>
      <c r="B16" s="76" t="s">
        <v>79</v>
      </c>
      <c r="C16" s="76">
        <v>7.55</v>
      </c>
      <c r="D16" s="76">
        <v>6.21</v>
      </c>
      <c r="E16" s="76">
        <v>10</v>
      </c>
      <c r="F16" s="76">
        <v>4</v>
      </c>
      <c r="G16" s="76">
        <v>7</v>
      </c>
      <c r="H16" s="76">
        <v>0.19</v>
      </c>
      <c r="I16" s="76">
        <v>0.01</v>
      </c>
      <c r="J16" s="77">
        <v>0.01</v>
      </c>
      <c r="K16" s="76">
        <v>6</v>
      </c>
      <c r="L16" s="76">
        <v>0.28000000000000003</v>
      </c>
      <c r="M16" s="76">
        <v>430</v>
      </c>
      <c r="N16" s="76" t="s">
        <v>80</v>
      </c>
      <c r="O16" s="76" t="s">
        <v>81</v>
      </c>
      <c r="P16" s="77" t="s">
        <v>82</v>
      </c>
      <c r="Q16" s="80"/>
      <c r="R16" s="81">
        <f t="shared" si="0"/>
        <v>0</v>
      </c>
      <c r="S16" s="80">
        <f t="shared" si="1"/>
        <v>7</v>
      </c>
    </row>
    <row r="17" spans="1:19" ht="46.15">
      <c r="A17" s="74">
        <v>15</v>
      </c>
      <c r="B17" s="76" t="s">
        <v>83</v>
      </c>
      <c r="C17" s="76">
        <v>7.18</v>
      </c>
      <c r="D17" s="76">
        <v>6.53</v>
      </c>
      <c r="E17" s="76">
        <v>10</v>
      </c>
      <c r="F17" s="77">
        <v>3</v>
      </c>
      <c r="G17" s="77">
        <v>6</v>
      </c>
      <c r="H17" s="76">
        <v>0.28000000000000003</v>
      </c>
      <c r="I17" s="76" t="s">
        <v>23</v>
      </c>
      <c r="J17" s="76">
        <v>0.02</v>
      </c>
      <c r="K17" s="76">
        <v>9</v>
      </c>
      <c r="L17" s="76">
        <v>0.31</v>
      </c>
      <c r="M17" s="76">
        <v>2400</v>
      </c>
      <c r="N17" s="76" t="s">
        <v>84</v>
      </c>
      <c r="O17" s="76" t="s">
        <v>85</v>
      </c>
      <c r="P17" s="77" t="s">
        <v>86</v>
      </c>
      <c r="Q17" s="80"/>
      <c r="R17" s="81">
        <f t="shared" si="0"/>
        <v>0</v>
      </c>
      <c r="S17" s="80">
        <f t="shared" si="1"/>
        <v>7</v>
      </c>
    </row>
    <row r="18" spans="1:19" ht="61.5">
      <c r="A18" s="74">
        <v>16</v>
      </c>
      <c r="B18" s="76" t="s">
        <v>87</v>
      </c>
      <c r="C18" s="78">
        <v>7.7233333333333301</v>
      </c>
      <c r="D18" s="78">
        <v>6.14333333333333</v>
      </c>
      <c r="E18" s="76">
        <v>3</v>
      </c>
      <c r="F18" s="76">
        <v>5</v>
      </c>
      <c r="G18" s="76">
        <v>10</v>
      </c>
      <c r="H18" s="76">
        <v>0.14000000000000001</v>
      </c>
      <c r="I18" s="76" t="s">
        <v>23</v>
      </c>
      <c r="J18" s="76">
        <v>0.02</v>
      </c>
      <c r="K18" s="84">
        <v>1227</v>
      </c>
      <c r="L18" s="78">
        <v>0.2</v>
      </c>
      <c r="M18" s="76">
        <v>2400</v>
      </c>
      <c r="N18" s="76" t="s">
        <v>88</v>
      </c>
      <c r="O18" s="76" t="s">
        <v>89</v>
      </c>
      <c r="P18" s="77" t="s">
        <v>90</v>
      </c>
      <c r="Q18" s="80"/>
      <c r="R18" s="81">
        <f t="shared" si="0"/>
        <v>0</v>
      </c>
      <c r="S18" s="80">
        <f t="shared" si="1"/>
        <v>7</v>
      </c>
    </row>
    <row r="19" spans="1:19" ht="76.900000000000006">
      <c r="A19" s="74">
        <v>17</v>
      </c>
      <c r="B19" s="76" t="s">
        <v>32</v>
      </c>
      <c r="C19" s="76">
        <v>7.72</v>
      </c>
      <c r="D19" s="78">
        <v>5.7233333333333301</v>
      </c>
      <c r="E19" s="76">
        <v>3</v>
      </c>
      <c r="F19" s="76">
        <v>6</v>
      </c>
      <c r="G19" s="76">
        <v>11</v>
      </c>
      <c r="H19" s="78">
        <v>0.12</v>
      </c>
      <c r="I19" s="78" t="s">
        <v>23</v>
      </c>
      <c r="J19" s="76" t="s">
        <v>50</v>
      </c>
      <c r="K19" s="76">
        <v>6</v>
      </c>
      <c r="L19" s="76">
        <v>0.25</v>
      </c>
      <c r="M19" s="76">
        <v>1500</v>
      </c>
      <c r="N19" s="76" t="s">
        <v>91</v>
      </c>
      <c r="O19" s="76" t="s">
        <v>92</v>
      </c>
      <c r="P19" s="77" t="s">
        <v>93</v>
      </c>
      <c r="Q19" s="80"/>
      <c r="R19" s="81">
        <f t="shared" si="0"/>
        <v>0</v>
      </c>
      <c r="S19" s="80">
        <f t="shared" si="1"/>
        <v>7</v>
      </c>
    </row>
    <row r="20" spans="1:19" ht="46.15">
      <c r="A20" s="74">
        <v>18</v>
      </c>
      <c r="B20" s="76" t="s">
        <v>94</v>
      </c>
      <c r="C20" s="76">
        <v>7.47</v>
      </c>
      <c r="D20" s="78">
        <v>5.6766666666666703</v>
      </c>
      <c r="E20" s="76">
        <v>9</v>
      </c>
      <c r="F20" s="76">
        <v>4</v>
      </c>
      <c r="G20" s="76">
        <v>8</v>
      </c>
      <c r="H20" s="76">
        <v>0.25</v>
      </c>
      <c r="I20" s="76" t="s">
        <v>23</v>
      </c>
      <c r="J20" s="76">
        <v>0.01</v>
      </c>
      <c r="K20" s="76">
        <v>9</v>
      </c>
      <c r="L20" s="76">
        <v>0.52</v>
      </c>
      <c r="M20" s="76">
        <v>4300</v>
      </c>
      <c r="N20" s="76" t="s">
        <v>95</v>
      </c>
      <c r="O20" s="76" t="s">
        <v>96</v>
      </c>
      <c r="P20" s="77" t="s">
        <v>97</v>
      </c>
      <c r="Q20" s="80"/>
      <c r="R20" s="81">
        <f t="shared" si="0"/>
        <v>0</v>
      </c>
      <c r="S20" s="80">
        <f t="shared" si="1"/>
        <v>7</v>
      </c>
    </row>
    <row r="21" spans="1:19" ht="61.5">
      <c r="A21" s="74">
        <v>19</v>
      </c>
      <c r="B21" s="76" t="s">
        <v>98</v>
      </c>
      <c r="C21" s="76">
        <v>7.35</v>
      </c>
      <c r="D21" s="78">
        <v>5.85666666666667</v>
      </c>
      <c r="E21" s="76">
        <v>5</v>
      </c>
      <c r="F21" s="76">
        <v>10</v>
      </c>
      <c r="G21" s="76">
        <v>17</v>
      </c>
      <c r="H21" s="76">
        <v>0.11</v>
      </c>
      <c r="I21" s="76">
        <v>0.01</v>
      </c>
      <c r="J21" s="76">
        <v>0.03</v>
      </c>
      <c r="K21" s="76">
        <v>6278</v>
      </c>
      <c r="L21" s="76">
        <v>0.22</v>
      </c>
      <c r="M21" s="76">
        <v>2400</v>
      </c>
      <c r="N21" s="76" t="s">
        <v>99</v>
      </c>
      <c r="O21" s="76" t="s">
        <v>100</v>
      </c>
      <c r="P21" s="85" t="s">
        <v>101</v>
      </c>
      <c r="Q21" s="80"/>
      <c r="R21" s="81">
        <f t="shared" si="0"/>
        <v>0</v>
      </c>
      <c r="S21" s="80">
        <f t="shared" si="1"/>
        <v>7</v>
      </c>
    </row>
    <row r="22" spans="1:19" ht="92.25">
      <c r="A22" s="74">
        <v>20</v>
      </c>
      <c r="B22" s="76" t="s">
        <v>78</v>
      </c>
      <c r="C22" s="76">
        <v>7.29</v>
      </c>
      <c r="D22" s="76">
        <v>6.73</v>
      </c>
      <c r="E22" s="76">
        <v>27</v>
      </c>
      <c r="F22" s="76">
        <v>7</v>
      </c>
      <c r="G22" s="76">
        <v>12</v>
      </c>
      <c r="H22" s="76">
        <v>0.32</v>
      </c>
      <c r="I22" s="76">
        <v>0.05</v>
      </c>
      <c r="J22" s="76">
        <v>0.28000000000000003</v>
      </c>
      <c r="K22" s="76">
        <v>8</v>
      </c>
      <c r="L22" s="76">
        <v>1.01</v>
      </c>
      <c r="M22" s="76">
        <v>4300</v>
      </c>
      <c r="N22" s="76" t="s">
        <v>102</v>
      </c>
      <c r="O22" s="76" t="s">
        <v>103</v>
      </c>
      <c r="P22" s="77" t="s">
        <v>104</v>
      </c>
      <c r="Q22" s="80"/>
      <c r="R22" s="81">
        <f t="shared" si="0"/>
        <v>0</v>
      </c>
      <c r="S22" s="80">
        <f t="shared" si="1"/>
        <v>7</v>
      </c>
    </row>
    <row r="23" spans="1:19" ht="61.5">
      <c r="A23" s="74">
        <v>21</v>
      </c>
      <c r="B23" s="76" t="s">
        <v>105</v>
      </c>
      <c r="C23" s="78">
        <v>6.7933333333333303</v>
      </c>
      <c r="D23" s="78">
        <v>6.4933333333333296</v>
      </c>
      <c r="E23" s="76">
        <v>27</v>
      </c>
      <c r="F23" s="76">
        <v>8</v>
      </c>
      <c r="G23" s="76">
        <v>14</v>
      </c>
      <c r="H23" s="76">
        <v>0.38</v>
      </c>
      <c r="I23" s="76">
        <v>0.17</v>
      </c>
      <c r="J23" s="76">
        <v>0.56000000000000005</v>
      </c>
      <c r="K23" s="76">
        <v>10</v>
      </c>
      <c r="L23" s="78">
        <v>1.1000000000000001</v>
      </c>
      <c r="M23" s="76">
        <v>430000</v>
      </c>
      <c r="N23" s="76" t="s">
        <v>106</v>
      </c>
      <c r="O23" s="76" t="s">
        <v>107</v>
      </c>
      <c r="P23" s="77" t="s">
        <v>108</v>
      </c>
      <c r="Q23" s="80"/>
      <c r="R23" s="81">
        <f t="shared" si="0"/>
        <v>0</v>
      </c>
      <c r="S23" s="80">
        <f t="shared" si="1"/>
        <v>7</v>
      </c>
    </row>
    <row r="24" spans="1:19" ht="61.5">
      <c r="A24" s="74">
        <v>22</v>
      </c>
      <c r="B24" s="76" t="s">
        <v>109</v>
      </c>
      <c r="C24" s="76">
        <v>7.72</v>
      </c>
      <c r="D24" s="76">
        <v>6.21</v>
      </c>
      <c r="E24" s="76">
        <v>8</v>
      </c>
      <c r="F24" s="76">
        <v>11</v>
      </c>
      <c r="G24" s="76">
        <v>19</v>
      </c>
      <c r="H24" s="76">
        <v>0.21</v>
      </c>
      <c r="I24" s="76">
        <v>0.03</v>
      </c>
      <c r="J24" s="76">
        <v>7.0000000000000007E-2</v>
      </c>
      <c r="K24" s="84">
        <v>149</v>
      </c>
      <c r="L24" s="76">
        <v>0.41</v>
      </c>
      <c r="M24" s="76">
        <v>4300</v>
      </c>
      <c r="N24" s="76" t="s">
        <v>110</v>
      </c>
      <c r="O24" s="76" t="s">
        <v>111</v>
      </c>
      <c r="P24" s="77" t="s">
        <v>112</v>
      </c>
      <c r="Q24" s="80"/>
      <c r="R24" s="81">
        <f t="shared" si="0"/>
        <v>0</v>
      </c>
      <c r="S24" s="80">
        <f t="shared" si="1"/>
        <v>7</v>
      </c>
    </row>
    <row r="25" spans="1:19" ht="61.5">
      <c r="A25" s="74">
        <v>23</v>
      </c>
      <c r="B25" s="76" t="s">
        <v>113</v>
      </c>
      <c r="C25" s="78">
        <v>7.4233333333333302</v>
      </c>
      <c r="D25" s="78">
        <v>6.5233333333333299</v>
      </c>
      <c r="E25" s="76">
        <v>10</v>
      </c>
      <c r="F25" s="76">
        <v>12</v>
      </c>
      <c r="G25" s="76">
        <v>23</v>
      </c>
      <c r="H25" s="76">
        <v>0.2</v>
      </c>
      <c r="I25" s="76">
        <v>0.02</v>
      </c>
      <c r="J25" s="76">
        <v>7.0000000000000007E-2</v>
      </c>
      <c r="K25" s="76">
        <v>8</v>
      </c>
      <c r="L25" s="78">
        <v>0.65</v>
      </c>
      <c r="M25" s="76">
        <v>4300</v>
      </c>
      <c r="N25" s="76" t="s">
        <v>114</v>
      </c>
      <c r="O25" s="76" t="s">
        <v>115</v>
      </c>
      <c r="P25" s="77" t="s">
        <v>116</v>
      </c>
      <c r="Q25" s="80"/>
      <c r="R25" s="81">
        <f t="shared" si="0"/>
        <v>0</v>
      </c>
      <c r="S25" s="80">
        <f t="shared" si="1"/>
        <v>7</v>
      </c>
    </row>
    <row r="26" spans="1:19" ht="46.15">
      <c r="A26" s="74">
        <v>24</v>
      </c>
      <c r="B26" s="76" t="s">
        <v>117</v>
      </c>
      <c r="C26" s="78">
        <v>7.9233333333333302</v>
      </c>
      <c r="D26" s="76">
        <v>6.15</v>
      </c>
      <c r="E26" s="76">
        <v>36</v>
      </c>
      <c r="F26" s="76">
        <v>9</v>
      </c>
      <c r="G26" s="76">
        <v>15</v>
      </c>
      <c r="H26" s="76">
        <v>0.22</v>
      </c>
      <c r="I26" s="76">
        <v>0.02</v>
      </c>
      <c r="J26" s="76">
        <v>0.01</v>
      </c>
      <c r="K26" s="76">
        <v>10</v>
      </c>
      <c r="L26" s="84">
        <v>0.73</v>
      </c>
      <c r="M26" s="76">
        <v>930</v>
      </c>
      <c r="N26" s="76" t="s">
        <v>118</v>
      </c>
      <c r="O26" s="76" t="s">
        <v>119</v>
      </c>
      <c r="P26" s="77" t="s">
        <v>120</v>
      </c>
      <c r="Q26" s="80"/>
      <c r="R26" s="81">
        <f t="shared" si="0"/>
        <v>0</v>
      </c>
      <c r="S26" s="80">
        <f t="shared" si="1"/>
        <v>7</v>
      </c>
    </row>
    <row r="27" spans="1:19" ht="61.5">
      <c r="A27" s="74">
        <v>25</v>
      </c>
      <c r="B27" s="76" t="s">
        <v>121</v>
      </c>
      <c r="C27" s="76">
        <v>7.87</v>
      </c>
      <c r="D27" s="76">
        <v>6.93</v>
      </c>
      <c r="E27" s="76">
        <v>25</v>
      </c>
      <c r="F27" s="76">
        <v>5</v>
      </c>
      <c r="G27" s="76">
        <v>9</v>
      </c>
      <c r="H27" s="78">
        <v>0.16</v>
      </c>
      <c r="I27" s="76">
        <v>0.02</v>
      </c>
      <c r="J27" s="78" t="s">
        <v>50</v>
      </c>
      <c r="K27" s="76">
        <v>12</v>
      </c>
      <c r="L27" s="76">
        <v>0.63</v>
      </c>
      <c r="M27" s="76">
        <v>430</v>
      </c>
      <c r="N27" s="76" t="s">
        <v>122</v>
      </c>
      <c r="O27" s="76" t="s">
        <v>123</v>
      </c>
      <c r="P27" s="77" t="s">
        <v>124</v>
      </c>
      <c r="Q27" s="80"/>
      <c r="R27" s="81">
        <f t="shared" si="0"/>
        <v>0</v>
      </c>
      <c r="S27" s="80">
        <f t="shared" si="1"/>
        <v>7</v>
      </c>
    </row>
    <row r="28" spans="1:19" ht="61.5">
      <c r="A28" s="74">
        <v>26</v>
      </c>
      <c r="B28" s="76" t="s">
        <v>125</v>
      </c>
      <c r="C28" s="78">
        <v>6.6333333333333302</v>
      </c>
      <c r="D28" s="76">
        <v>4.82</v>
      </c>
      <c r="E28" s="76">
        <v>16</v>
      </c>
      <c r="F28" s="86">
        <v>20</v>
      </c>
      <c r="G28" s="76">
        <v>31</v>
      </c>
      <c r="H28" s="78">
        <v>0.28999999999999998</v>
      </c>
      <c r="I28" s="78">
        <v>0.16</v>
      </c>
      <c r="J28" s="78">
        <v>0.4</v>
      </c>
      <c r="K28" s="76">
        <v>24</v>
      </c>
      <c r="L28" s="87">
        <v>0.97</v>
      </c>
      <c r="M28" s="76">
        <v>2400</v>
      </c>
      <c r="N28" s="76" t="s">
        <v>126</v>
      </c>
      <c r="O28" s="76" t="s">
        <v>127</v>
      </c>
      <c r="P28" s="85" t="s">
        <v>128</v>
      </c>
      <c r="Q28" s="80"/>
      <c r="R28" s="81">
        <f t="shared" si="0"/>
        <v>0</v>
      </c>
      <c r="S28" s="80">
        <f t="shared" si="1"/>
        <v>7</v>
      </c>
    </row>
    <row r="29" spans="1:19" ht="61.5">
      <c r="A29" s="74">
        <v>27</v>
      </c>
      <c r="B29" s="76" t="s">
        <v>129</v>
      </c>
      <c r="C29" s="76">
        <v>6.57</v>
      </c>
      <c r="D29" s="76">
        <v>4.7300000000000004</v>
      </c>
      <c r="E29" s="76">
        <v>5</v>
      </c>
      <c r="F29" s="76">
        <v>10</v>
      </c>
      <c r="G29" s="76">
        <v>18</v>
      </c>
      <c r="H29" s="76">
        <v>0.13</v>
      </c>
      <c r="I29" s="78">
        <v>0.05</v>
      </c>
      <c r="J29" s="82">
        <v>0.04</v>
      </c>
      <c r="K29" s="82">
        <v>7</v>
      </c>
      <c r="L29" s="86">
        <v>1.57</v>
      </c>
      <c r="M29" s="76">
        <v>930</v>
      </c>
      <c r="N29" s="76" t="s">
        <v>130</v>
      </c>
      <c r="O29" s="76" t="s">
        <v>131</v>
      </c>
      <c r="P29" s="77" t="s">
        <v>132</v>
      </c>
      <c r="Q29" s="80"/>
      <c r="R29" s="81">
        <f t="shared" si="0"/>
        <v>0</v>
      </c>
      <c r="S29" s="80">
        <f t="shared" si="1"/>
        <v>7</v>
      </c>
    </row>
    <row r="30" spans="1:19" ht="61.5">
      <c r="A30" s="74">
        <v>28</v>
      </c>
      <c r="B30" s="76" t="s">
        <v>133</v>
      </c>
      <c r="C30" s="76">
        <v>7.72</v>
      </c>
      <c r="D30" s="76">
        <v>6.21</v>
      </c>
      <c r="E30" s="84">
        <v>35</v>
      </c>
      <c r="F30" s="76">
        <v>20</v>
      </c>
      <c r="G30" s="76">
        <v>37</v>
      </c>
      <c r="H30" s="76">
        <v>3.49</v>
      </c>
      <c r="I30" s="86">
        <v>3.48</v>
      </c>
      <c r="J30" s="78">
        <v>1.55</v>
      </c>
      <c r="K30" s="76">
        <v>50</v>
      </c>
      <c r="L30" s="88">
        <v>1.1000000000000001</v>
      </c>
      <c r="M30" s="76">
        <v>430000</v>
      </c>
      <c r="N30" s="76" t="s">
        <v>134</v>
      </c>
      <c r="O30" s="76" t="s">
        <v>135</v>
      </c>
      <c r="P30" s="77" t="s">
        <v>136</v>
      </c>
      <c r="Q30" s="80"/>
      <c r="R30" s="81">
        <f t="shared" si="0"/>
        <v>0</v>
      </c>
      <c r="S30" s="80">
        <f t="shared" si="1"/>
        <v>7</v>
      </c>
    </row>
    <row r="31" spans="1:19" ht="76.900000000000006">
      <c r="A31" s="74">
        <v>29</v>
      </c>
      <c r="B31" s="76" t="s">
        <v>137</v>
      </c>
      <c r="C31" s="76">
        <v>7.72</v>
      </c>
      <c r="D31" s="76">
        <v>6.21</v>
      </c>
      <c r="E31" s="76">
        <v>32</v>
      </c>
      <c r="F31" s="89">
        <v>18</v>
      </c>
      <c r="G31" s="89">
        <v>35</v>
      </c>
      <c r="H31" s="78">
        <v>0.12</v>
      </c>
      <c r="I31" s="76">
        <v>7.0000000000000007E-2</v>
      </c>
      <c r="J31" s="82">
        <v>0.12</v>
      </c>
      <c r="K31" s="82">
        <v>7</v>
      </c>
      <c r="L31" s="82">
        <v>1.49</v>
      </c>
      <c r="M31" s="90" t="s">
        <v>208</v>
      </c>
      <c r="N31" s="76" t="s">
        <v>138</v>
      </c>
      <c r="O31" s="76" t="s">
        <v>139</v>
      </c>
      <c r="P31" s="77" t="s">
        <v>140</v>
      </c>
      <c r="Q31" s="80"/>
      <c r="R31" s="81">
        <f t="shared" si="0"/>
        <v>0</v>
      </c>
      <c r="S31" s="80">
        <f t="shared" si="1"/>
        <v>7</v>
      </c>
    </row>
    <row r="32" spans="1:19" ht="46.15">
      <c r="A32" s="74">
        <v>30</v>
      </c>
      <c r="B32" s="76" t="s">
        <v>141</v>
      </c>
      <c r="C32" s="76">
        <v>6.68</v>
      </c>
      <c r="D32" s="76">
        <v>6.53</v>
      </c>
      <c r="E32" s="76">
        <v>4</v>
      </c>
      <c r="F32" s="77">
        <v>5</v>
      </c>
      <c r="G32" s="76">
        <v>9</v>
      </c>
      <c r="H32" s="78">
        <v>0.1</v>
      </c>
      <c r="I32" s="76" t="s">
        <v>23</v>
      </c>
      <c r="J32" s="76">
        <v>0.01</v>
      </c>
      <c r="K32" s="77" t="s">
        <v>28</v>
      </c>
      <c r="L32" s="78">
        <v>0.03</v>
      </c>
      <c r="M32" s="76">
        <v>23</v>
      </c>
      <c r="N32" s="76" t="s">
        <v>142</v>
      </c>
      <c r="O32" s="76" t="s">
        <v>143</v>
      </c>
      <c r="P32" s="77" t="s">
        <v>144</v>
      </c>
      <c r="Q32" s="80"/>
      <c r="R32" s="81">
        <f t="shared" si="0"/>
        <v>0</v>
      </c>
      <c r="S32" s="80">
        <f t="shared" si="1"/>
        <v>7</v>
      </c>
    </row>
    <row r="33" spans="1:19" ht="46.15">
      <c r="A33" s="74">
        <v>31</v>
      </c>
      <c r="B33" s="76" t="s">
        <v>145</v>
      </c>
      <c r="C33" s="76">
        <v>7.68</v>
      </c>
      <c r="D33" s="78">
        <v>6.3233333333333297</v>
      </c>
      <c r="E33" s="76">
        <v>22</v>
      </c>
      <c r="F33" s="76">
        <v>4</v>
      </c>
      <c r="G33" s="76">
        <v>7</v>
      </c>
      <c r="H33" s="78">
        <v>0.09</v>
      </c>
      <c r="I33" s="76">
        <v>0.01</v>
      </c>
      <c r="J33" s="76">
        <v>0.02</v>
      </c>
      <c r="K33" s="76">
        <v>397</v>
      </c>
      <c r="L33" s="76">
        <v>0.05</v>
      </c>
      <c r="M33" s="76">
        <v>93</v>
      </c>
      <c r="N33" s="76" t="s">
        <v>146</v>
      </c>
      <c r="O33" s="76" t="s">
        <v>147</v>
      </c>
      <c r="P33" s="77" t="s">
        <v>148</v>
      </c>
      <c r="Q33" s="80"/>
      <c r="R33" s="81">
        <f t="shared" si="0"/>
        <v>0</v>
      </c>
      <c r="S33" s="80">
        <f t="shared" si="1"/>
        <v>7</v>
      </c>
    </row>
  </sheetData>
  <mergeCells count="8">
    <mergeCell ref="R1:R2"/>
    <mergeCell ref="S1:S2"/>
    <mergeCell ref="A1:A2"/>
    <mergeCell ref="B1:B2"/>
    <mergeCell ref="N1:N2"/>
    <mergeCell ref="O1:O2"/>
    <mergeCell ref="P1:P2"/>
    <mergeCell ref="Q1:Q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38BF-7144-47ED-A9E6-96BC58679D57}">
  <dimension ref="A1:T33"/>
  <sheetViews>
    <sheetView workbookViewId="0">
      <selection activeCell="R1" sqref="R1:R1048576"/>
    </sheetView>
  </sheetViews>
  <sheetFormatPr defaultColWidth="26.4375" defaultRowHeight="16.5"/>
  <cols>
    <col min="1" max="1" width="4.875" style="1" bestFit="1" customWidth="1"/>
    <col min="2" max="2" width="12.1875" style="1" bestFit="1" customWidth="1"/>
    <col min="3" max="3" width="5.5" style="1" bestFit="1" customWidth="1"/>
    <col min="4" max="4" width="10" style="1" bestFit="1" customWidth="1"/>
    <col min="5" max="5" width="5.6875" style="1" bestFit="1" customWidth="1"/>
    <col min="6" max="7" width="6.3125" style="1" bestFit="1" customWidth="1"/>
    <col min="8" max="8" width="11.125" style="1" bestFit="1" customWidth="1"/>
    <col min="9" max="10" width="12.125" style="1" bestFit="1" customWidth="1"/>
    <col min="11" max="11" width="8.625" style="1" bestFit="1" customWidth="1"/>
    <col min="12" max="12" width="6.3125" style="1" bestFit="1" customWidth="1"/>
    <col min="13" max="13" width="11.75" style="1" bestFit="1" customWidth="1"/>
    <col min="14" max="14" width="12.0625" style="1" bestFit="1" customWidth="1"/>
    <col min="15" max="15" width="11.0625" style="1" bestFit="1" customWidth="1"/>
    <col min="16" max="16" width="26.4375" style="1"/>
    <col min="17" max="17" width="13.625" style="23" bestFit="1" customWidth="1"/>
    <col min="18" max="19" width="9.8125" style="1" bestFit="1" customWidth="1"/>
    <col min="20" max="20" width="6.5625" style="1" bestFit="1" customWidth="1"/>
    <col min="21" max="16384" width="26.4375" style="1"/>
  </cols>
  <sheetData>
    <row r="1" spans="1:20">
      <c r="A1" s="93" t="s">
        <v>0</v>
      </c>
      <c r="B1" s="95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4" t="s">
        <v>11</v>
      </c>
      <c r="M1" s="5" t="s">
        <v>12</v>
      </c>
      <c r="N1" s="93" t="s">
        <v>13</v>
      </c>
      <c r="O1" s="93" t="s">
        <v>14</v>
      </c>
      <c r="P1" s="97" t="s">
        <v>15</v>
      </c>
      <c r="Q1" s="99" t="s">
        <v>16</v>
      </c>
      <c r="R1" s="91" t="s">
        <v>17</v>
      </c>
      <c r="S1" s="91" t="s">
        <v>18</v>
      </c>
    </row>
    <row r="2" spans="1:20">
      <c r="A2" s="94"/>
      <c r="B2" s="96"/>
      <c r="C2" s="3"/>
      <c r="D2" s="3" t="s">
        <v>19</v>
      </c>
      <c r="E2" s="3" t="s">
        <v>20</v>
      </c>
      <c r="F2" s="2" t="s">
        <v>19</v>
      </c>
      <c r="G2" s="3" t="s">
        <v>19</v>
      </c>
      <c r="H2" s="4" t="s">
        <v>19</v>
      </c>
      <c r="I2" s="3" t="s">
        <v>20</v>
      </c>
      <c r="J2" s="4" t="s">
        <v>19</v>
      </c>
      <c r="K2" s="2" t="s">
        <v>19</v>
      </c>
      <c r="L2" s="4" t="s">
        <v>19</v>
      </c>
      <c r="M2" s="6" t="s">
        <v>21</v>
      </c>
      <c r="N2" s="94"/>
      <c r="O2" s="94"/>
      <c r="P2" s="98"/>
      <c r="Q2" s="100"/>
      <c r="R2" s="92"/>
      <c r="S2" s="92"/>
    </row>
    <row r="3" spans="1:20" ht="76.900000000000006">
      <c r="A3" s="5">
        <v>1</v>
      </c>
      <c r="B3" s="7" t="s">
        <v>22</v>
      </c>
      <c r="C3" s="10">
        <v>6.5433333333333303</v>
      </c>
      <c r="D3" s="24">
        <v>7.15</v>
      </c>
      <c r="E3" s="25">
        <v>5</v>
      </c>
      <c r="F3" s="7">
        <v>5</v>
      </c>
      <c r="G3" s="7">
        <v>10</v>
      </c>
      <c r="H3" s="25">
        <v>0.12</v>
      </c>
      <c r="I3" s="26">
        <v>0.01</v>
      </c>
      <c r="J3" s="25" t="s">
        <v>50</v>
      </c>
      <c r="K3" s="7">
        <v>4</v>
      </c>
      <c r="L3" s="27">
        <v>0.1</v>
      </c>
      <c r="M3" s="25">
        <v>430</v>
      </c>
      <c r="N3" s="7" t="s">
        <v>24</v>
      </c>
      <c r="O3" s="7" t="s">
        <v>25</v>
      </c>
      <c r="P3" s="11" t="s">
        <v>26</v>
      </c>
      <c r="Q3" s="28">
        <v>45113</v>
      </c>
      <c r="R3" s="29">
        <f t="shared" ref="R3:R33" si="0">Q3</f>
        <v>45113</v>
      </c>
      <c r="S3" s="28">
        <f t="shared" ref="S3:S33" si="1">R3+7</f>
        <v>45120</v>
      </c>
    </row>
    <row r="4" spans="1:20" ht="61.5">
      <c r="A4" s="5">
        <v>2</v>
      </c>
      <c r="B4" s="7" t="s">
        <v>27</v>
      </c>
      <c r="C4" s="10">
        <v>5.9633333333333303</v>
      </c>
      <c r="D4" s="24">
        <v>7.35666666666667</v>
      </c>
      <c r="E4" s="25">
        <v>6</v>
      </c>
      <c r="F4" s="7">
        <v>6</v>
      </c>
      <c r="G4" s="7">
        <v>11</v>
      </c>
      <c r="H4" s="25">
        <v>0.12</v>
      </c>
      <c r="I4" s="26" t="s">
        <v>23</v>
      </c>
      <c r="J4" s="7">
        <v>0.03</v>
      </c>
      <c r="K4" s="7">
        <v>4</v>
      </c>
      <c r="L4" s="7">
        <v>0.32</v>
      </c>
      <c r="M4" s="25">
        <v>930</v>
      </c>
      <c r="N4" s="7" t="s">
        <v>29</v>
      </c>
      <c r="O4" s="7" t="s">
        <v>30</v>
      </c>
      <c r="P4" s="9" t="s">
        <v>31</v>
      </c>
      <c r="Q4" s="28">
        <v>45113</v>
      </c>
      <c r="R4" s="29">
        <f t="shared" si="0"/>
        <v>45113</v>
      </c>
      <c r="S4" s="28">
        <f t="shared" si="1"/>
        <v>45120</v>
      </c>
      <c r="T4" s="1" t="s">
        <v>32</v>
      </c>
    </row>
    <row r="5" spans="1:20" ht="76.900000000000006">
      <c r="A5" s="5">
        <v>3</v>
      </c>
      <c r="B5" s="7" t="s">
        <v>33</v>
      </c>
      <c r="C5" s="10">
        <v>7.2666666666666702</v>
      </c>
      <c r="D5" s="24">
        <v>6.6666666666666696</v>
      </c>
      <c r="E5" s="25">
        <v>9</v>
      </c>
      <c r="F5" s="7">
        <v>4</v>
      </c>
      <c r="G5" s="7">
        <v>7</v>
      </c>
      <c r="H5" s="25">
        <v>0.14000000000000001</v>
      </c>
      <c r="I5" s="7">
        <v>0.02</v>
      </c>
      <c r="J5" s="7">
        <v>0.01</v>
      </c>
      <c r="K5" s="26">
        <v>9</v>
      </c>
      <c r="L5" s="7">
        <v>0.23</v>
      </c>
      <c r="M5" s="7">
        <v>240</v>
      </c>
      <c r="N5" s="7" t="s">
        <v>34</v>
      </c>
      <c r="O5" s="7" t="s">
        <v>35</v>
      </c>
      <c r="P5" s="9" t="s">
        <v>149</v>
      </c>
      <c r="Q5" s="28">
        <v>45114</v>
      </c>
      <c r="R5" s="29">
        <f t="shared" si="0"/>
        <v>45114</v>
      </c>
      <c r="S5" s="28">
        <f t="shared" si="1"/>
        <v>45121</v>
      </c>
      <c r="T5" s="1" t="s">
        <v>22</v>
      </c>
    </row>
    <row r="6" spans="1:20" ht="76.900000000000006">
      <c r="A6" s="5">
        <v>4</v>
      </c>
      <c r="B6" s="7" t="s">
        <v>37</v>
      </c>
      <c r="C6" s="10">
        <v>1</v>
      </c>
      <c r="D6" s="24">
        <v>6.5633333333333299</v>
      </c>
      <c r="E6" s="7">
        <v>11</v>
      </c>
      <c r="F6" s="7">
        <v>5</v>
      </c>
      <c r="G6" s="7">
        <v>8</v>
      </c>
      <c r="H6" s="25">
        <v>0.13</v>
      </c>
      <c r="I6" s="7">
        <v>0.02</v>
      </c>
      <c r="J6" s="7">
        <v>0.01</v>
      </c>
      <c r="K6" s="9">
        <v>5</v>
      </c>
      <c r="L6" s="10">
        <v>0.19</v>
      </c>
      <c r="M6" s="25">
        <v>2400</v>
      </c>
      <c r="N6" s="7" t="s">
        <v>38</v>
      </c>
      <c r="O6" s="7" t="s">
        <v>39</v>
      </c>
      <c r="P6" s="9" t="s">
        <v>40</v>
      </c>
      <c r="Q6" s="28">
        <v>45114</v>
      </c>
      <c r="R6" s="29">
        <f t="shared" si="0"/>
        <v>45114</v>
      </c>
      <c r="S6" s="28">
        <f t="shared" si="1"/>
        <v>45121</v>
      </c>
      <c r="T6" s="1" t="s">
        <v>27</v>
      </c>
    </row>
    <row r="7" spans="1:20" ht="61.5">
      <c r="A7" s="5">
        <v>5</v>
      </c>
      <c r="B7" s="7" t="s">
        <v>41</v>
      </c>
      <c r="C7" s="10">
        <v>7.8533333333333299</v>
      </c>
      <c r="D7" s="24">
        <v>7.1033333333333299</v>
      </c>
      <c r="E7" s="7">
        <v>12</v>
      </c>
      <c r="F7" s="7">
        <v>4</v>
      </c>
      <c r="G7" s="7">
        <v>8</v>
      </c>
      <c r="H7" s="25">
        <v>0.13</v>
      </c>
      <c r="I7" s="25" t="s">
        <v>23</v>
      </c>
      <c r="J7" s="25">
        <v>0.47</v>
      </c>
      <c r="K7" s="7">
        <v>4596</v>
      </c>
      <c r="L7" s="27">
        <v>0.3</v>
      </c>
      <c r="M7" s="25">
        <v>2400</v>
      </c>
      <c r="N7" s="7" t="s">
        <v>42</v>
      </c>
      <c r="O7" s="7" t="s">
        <v>43</v>
      </c>
      <c r="P7" s="9" t="s">
        <v>44</v>
      </c>
      <c r="Q7" s="28">
        <v>45114</v>
      </c>
      <c r="R7" s="29">
        <f t="shared" si="0"/>
        <v>45114</v>
      </c>
      <c r="S7" s="28">
        <f t="shared" si="1"/>
        <v>45121</v>
      </c>
      <c r="T7" s="1" t="s">
        <v>33</v>
      </c>
    </row>
    <row r="8" spans="1:20" ht="46.15">
      <c r="A8" s="5">
        <v>6</v>
      </c>
      <c r="B8" s="7" t="s">
        <v>45</v>
      </c>
      <c r="C8" s="10">
        <v>6.8233333333333297</v>
      </c>
      <c r="D8" s="24">
        <v>7.62</v>
      </c>
      <c r="E8" s="7">
        <v>9</v>
      </c>
      <c r="F8" s="7">
        <v>5</v>
      </c>
      <c r="G8" s="7">
        <v>8</v>
      </c>
      <c r="H8" s="10">
        <v>0.12</v>
      </c>
      <c r="I8" s="10">
        <v>0.03</v>
      </c>
      <c r="J8" s="7">
        <v>0.08</v>
      </c>
      <c r="K8" s="7">
        <v>5</v>
      </c>
      <c r="L8" s="25">
        <v>0.24</v>
      </c>
      <c r="M8" s="25">
        <v>4300</v>
      </c>
      <c r="N8" s="7" t="s">
        <v>46</v>
      </c>
      <c r="O8" s="7" t="s">
        <v>47</v>
      </c>
      <c r="P8" s="9" t="s">
        <v>48</v>
      </c>
      <c r="Q8" s="28">
        <v>45124</v>
      </c>
      <c r="R8" s="29">
        <f t="shared" si="0"/>
        <v>45124</v>
      </c>
      <c r="S8" s="28">
        <f t="shared" si="1"/>
        <v>45131</v>
      </c>
    </row>
    <row r="9" spans="1:20" ht="61.5">
      <c r="A9" s="5">
        <v>7</v>
      </c>
      <c r="B9" s="7" t="s">
        <v>49</v>
      </c>
      <c r="C9" s="10">
        <v>7.6033333333333299</v>
      </c>
      <c r="D9" s="24">
        <v>7.03</v>
      </c>
      <c r="E9" s="7">
        <v>7</v>
      </c>
      <c r="F9" s="7">
        <v>4</v>
      </c>
      <c r="G9" s="7">
        <v>6</v>
      </c>
      <c r="H9" s="10">
        <v>0.11</v>
      </c>
      <c r="I9" s="25">
        <v>0.04</v>
      </c>
      <c r="J9" s="7" t="s">
        <v>50</v>
      </c>
      <c r="K9" s="7" t="s">
        <v>28</v>
      </c>
      <c r="L9" s="10">
        <v>0.36</v>
      </c>
      <c r="M9" s="25">
        <v>2300</v>
      </c>
      <c r="N9" s="7" t="s">
        <v>51</v>
      </c>
      <c r="O9" s="7" t="s">
        <v>150</v>
      </c>
      <c r="P9" s="9" t="s">
        <v>53</v>
      </c>
      <c r="Q9" s="28">
        <v>45119</v>
      </c>
      <c r="R9" s="29">
        <f t="shared" si="0"/>
        <v>45119</v>
      </c>
      <c r="S9" s="28">
        <f t="shared" si="1"/>
        <v>45126</v>
      </c>
    </row>
    <row r="10" spans="1:20" ht="61.5">
      <c r="A10" s="5">
        <v>8</v>
      </c>
      <c r="B10" s="7" t="s">
        <v>54</v>
      </c>
      <c r="C10" s="10">
        <v>7.69</v>
      </c>
      <c r="D10" s="24">
        <v>7.04</v>
      </c>
      <c r="E10" s="7">
        <v>18</v>
      </c>
      <c r="F10" s="7">
        <v>6</v>
      </c>
      <c r="G10" s="7">
        <v>10</v>
      </c>
      <c r="H10" s="7">
        <v>0.15</v>
      </c>
      <c r="I10" s="25">
        <v>7.0000000000000007E-2</v>
      </c>
      <c r="J10" s="7" t="s">
        <v>50</v>
      </c>
      <c r="K10" s="7" t="s">
        <v>28</v>
      </c>
      <c r="L10" s="7">
        <v>0.35</v>
      </c>
      <c r="M10" s="7">
        <v>430</v>
      </c>
      <c r="N10" s="7" t="s">
        <v>55</v>
      </c>
      <c r="O10" s="7" t="s">
        <v>56</v>
      </c>
      <c r="P10" s="14" t="s">
        <v>57</v>
      </c>
      <c r="Q10" s="28">
        <v>45119</v>
      </c>
      <c r="R10" s="29">
        <f t="shared" si="0"/>
        <v>45119</v>
      </c>
      <c r="S10" s="28">
        <f t="shared" si="1"/>
        <v>45126</v>
      </c>
    </row>
    <row r="11" spans="1:20" ht="61.5">
      <c r="A11" s="5">
        <v>9</v>
      </c>
      <c r="B11" s="7" t="s">
        <v>58</v>
      </c>
      <c r="C11" s="10">
        <v>6.77</v>
      </c>
      <c r="D11" s="24">
        <v>6.54</v>
      </c>
      <c r="E11" s="7">
        <v>11</v>
      </c>
      <c r="F11" s="7">
        <v>5</v>
      </c>
      <c r="G11" s="7">
        <v>10</v>
      </c>
      <c r="H11" s="25">
        <v>0.16</v>
      </c>
      <c r="I11" s="9">
        <v>0.02</v>
      </c>
      <c r="J11" s="7">
        <v>0.01</v>
      </c>
      <c r="K11" s="25">
        <v>5</v>
      </c>
      <c r="L11" s="7">
        <v>0.34</v>
      </c>
      <c r="M11" s="7">
        <v>110</v>
      </c>
      <c r="N11" s="7" t="s">
        <v>59</v>
      </c>
      <c r="O11" s="7" t="s">
        <v>60</v>
      </c>
      <c r="P11" s="9" t="s">
        <v>61</v>
      </c>
      <c r="Q11" s="28">
        <v>45119</v>
      </c>
      <c r="R11" s="29">
        <f t="shared" si="0"/>
        <v>45119</v>
      </c>
      <c r="S11" s="28">
        <f t="shared" si="1"/>
        <v>45126</v>
      </c>
    </row>
    <row r="12" spans="1:20" ht="76.900000000000006">
      <c r="A12" s="5">
        <v>10</v>
      </c>
      <c r="B12" s="7" t="s">
        <v>62</v>
      </c>
      <c r="C12" s="10">
        <v>7.44</v>
      </c>
      <c r="D12" s="24">
        <v>6.2766666666666699</v>
      </c>
      <c r="E12" s="25">
        <v>19</v>
      </c>
      <c r="F12" s="7">
        <v>7</v>
      </c>
      <c r="G12" s="7">
        <v>11</v>
      </c>
      <c r="H12" s="7">
        <v>0.16</v>
      </c>
      <c r="I12" s="7">
        <v>0.02</v>
      </c>
      <c r="J12" s="7">
        <v>0.05</v>
      </c>
      <c r="K12" s="7">
        <v>4</v>
      </c>
      <c r="L12" s="10">
        <v>0.38</v>
      </c>
      <c r="M12" s="7">
        <v>240</v>
      </c>
      <c r="N12" s="7" t="s">
        <v>151</v>
      </c>
      <c r="O12" s="7" t="s">
        <v>152</v>
      </c>
      <c r="P12" s="9" t="s">
        <v>65</v>
      </c>
      <c r="Q12" s="28">
        <v>45119</v>
      </c>
      <c r="R12" s="29">
        <f t="shared" si="0"/>
        <v>45119</v>
      </c>
      <c r="S12" s="28">
        <f t="shared" si="1"/>
        <v>45126</v>
      </c>
      <c r="T12" s="16" t="s">
        <v>66</v>
      </c>
    </row>
    <row r="13" spans="1:20" ht="46.15">
      <c r="A13" s="5">
        <v>11</v>
      </c>
      <c r="B13" s="7" t="s">
        <v>67</v>
      </c>
      <c r="C13" s="10">
        <v>7.97</v>
      </c>
      <c r="D13" s="24">
        <v>7.15</v>
      </c>
      <c r="E13" s="7">
        <v>5</v>
      </c>
      <c r="F13" s="7">
        <v>4</v>
      </c>
      <c r="G13" s="7">
        <v>7</v>
      </c>
      <c r="H13" s="10">
        <v>0.18</v>
      </c>
      <c r="I13" s="9" t="s">
        <v>23</v>
      </c>
      <c r="J13" s="7">
        <v>0.03</v>
      </c>
      <c r="K13" s="7">
        <v>6920</v>
      </c>
      <c r="L13" s="10">
        <v>0.26</v>
      </c>
      <c r="M13" s="7">
        <v>1500</v>
      </c>
      <c r="N13" s="7" t="s">
        <v>68</v>
      </c>
      <c r="O13" s="7" t="s">
        <v>69</v>
      </c>
      <c r="P13" s="9" t="s">
        <v>70</v>
      </c>
      <c r="Q13" s="28">
        <v>45120</v>
      </c>
      <c r="R13" s="29">
        <f t="shared" si="0"/>
        <v>45120</v>
      </c>
      <c r="S13" s="28">
        <f t="shared" si="1"/>
        <v>45127</v>
      </c>
    </row>
    <row r="14" spans="1:20" ht="61.5">
      <c r="A14" s="5">
        <v>12</v>
      </c>
      <c r="B14" s="7" t="s">
        <v>71</v>
      </c>
      <c r="C14" s="10">
        <v>7.4466666666666699</v>
      </c>
      <c r="D14" s="24">
        <v>6.55</v>
      </c>
      <c r="E14" s="7">
        <v>10</v>
      </c>
      <c r="F14" s="7">
        <v>5</v>
      </c>
      <c r="G14" s="7">
        <v>10</v>
      </c>
      <c r="H14" s="10">
        <v>0.12</v>
      </c>
      <c r="I14" s="7">
        <v>0.02</v>
      </c>
      <c r="J14" s="7">
        <v>0.02</v>
      </c>
      <c r="K14" s="7">
        <v>6</v>
      </c>
      <c r="L14" s="10">
        <v>0.4</v>
      </c>
      <c r="M14" s="25">
        <v>2400</v>
      </c>
      <c r="N14" s="7" t="s">
        <v>72</v>
      </c>
      <c r="O14" s="7" t="s">
        <v>73</v>
      </c>
      <c r="P14" s="11" t="s">
        <v>74</v>
      </c>
      <c r="Q14" s="28">
        <v>45125</v>
      </c>
      <c r="R14" s="29">
        <f t="shared" si="0"/>
        <v>45125</v>
      </c>
      <c r="S14" s="28">
        <f t="shared" si="1"/>
        <v>45132</v>
      </c>
    </row>
    <row r="15" spans="1:20" ht="61.5">
      <c r="A15" s="5">
        <v>13</v>
      </c>
      <c r="B15" s="7" t="s">
        <v>66</v>
      </c>
      <c r="C15" s="10">
        <v>7.4</v>
      </c>
      <c r="D15" s="24">
        <v>7.95</v>
      </c>
      <c r="E15" s="7">
        <v>9</v>
      </c>
      <c r="F15" s="7">
        <v>6</v>
      </c>
      <c r="G15" s="7">
        <v>11</v>
      </c>
      <c r="H15" s="7">
        <v>0.11</v>
      </c>
      <c r="I15" s="7">
        <v>0.01</v>
      </c>
      <c r="J15" s="7">
        <v>0.04</v>
      </c>
      <c r="K15" s="7">
        <v>7</v>
      </c>
      <c r="L15" s="7">
        <v>0.52</v>
      </c>
      <c r="M15" s="7">
        <v>9300</v>
      </c>
      <c r="N15" s="7" t="s">
        <v>75</v>
      </c>
      <c r="O15" s="7" t="s">
        <v>76</v>
      </c>
      <c r="P15" s="9" t="s">
        <v>77</v>
      </c>
      <c r="Q15" s="28">
        <v>45125</v>
      </c>
      <c r="R15" s="29">
        <f t="shared" si="0"/>
        <v>45125</v>
      </c>
      <c r="S15" s="28">
        <f t="shared" si="1"/>
        <v>45132</v>
      </c>
      <c r="T15" s="1" t="s">
        <v>78</v>
      </c>
    </row>
    <row r="16" spans="1:20" ht="61.5">
      <c r="A16" s="5">
        <v>14</v>
      </c>
      <c r="B16" s="7" t="s">
        <v>79</v>
      </c>
      <c r="C16" s="10">
        <v>7.38</v>
      </c>
      <c r="D16" s="24">
        <v>6.23</v>
      </c>
      <c r="E16" s="7">
        <v>11</v>
      </c>
      <c r="F16" s="25">
        <v>7</v>
      </c>
      <c r="G16" s="25">
        <v>13</v>
      </c>
      <c r="H16" s="7">
        <v>0.15</v>
      </c>
      <c r="I16" s="7">
        <v>0.01</v>
      </c>
      <c r="J16" s="9">
        <v>0.03</v>
      </c>
      <c r="K16" s="7">
        <v>7</v>
      </c>
      <c r="L16" s="7">
        <v>0.36</v>
      </c>
      <c r="M16" s="7">
        <v>4300</v>
      </c>
      <c r="N16" s="7" t="s">
        <v>153</v>
      </c>
      <c r="O16" s="7" t="s">
        <v>154</v>
      </c>
      <c r="P16" s="9" t="s">
        <v>82</v>
      </c>
      <c r="Q16" s="28">
        <v>45125</v>
      </c>
      <c r="R16" s="29">
        <f t="shared" si="0"/>
        <v>45125</v>
      </c>
      <c r="S16" s="28">
        <f t="shared" si="1"/>
        <v>45132</v>
      </c>
    </row>
    <row r="17" spans="1:20" ht="46.15">
      <c r="A17" s="5">
        <v>15</v>
      </c>
      <c r="B17" s="7" t="s">
        <v>83</v>
      </c>
      <c r="C17" s="10">
        <v>7.17</v>
      </c>
      <c r="D17" s="24">
        <v>6.5966666666666702</v>
      </c>
      <c r="E17" s="7">
        <v>6</v>
      </c>
      <c r="F17" s="9">
        <v>7</v>
      </c>
      <c r="G17" s="9">
        <v>12</v>
      </c>
      <c r="H17" s="10">
        <v>0.1</v>
      </c>
      <c r="I17" s="25">
        <v>0.04</v>
      </c>
      <c r="J17" s="7">
        <v>0.03</v>
      </c>
      <c r="K17" s="7">
        <v>6</v>
      </c>
      <c r="L17" s="7">
        <v>0.43</v>
      </c>
      <c r="M17" s="7">
        <v>9300</v>
      </c>
      <c r="N17" s="7" t="s">
        <v>155</v>
      </c>
      <c r="O17" s="7" t="s">
        <v>85</v>
      </c>
      <c r="P17" s="9" t="s">
        <v>86</v>
      </c>
      <c r="Q17" s="28">
        <v>45121</v>
      </c>
      <c r="R17" s="29">
        <f t="shared" si="0"/>
        <v>45121</v>
      </c>
      <c r="S17" s="28">
        <f t="shared" si="1"/>
        <v>45128</v>
      </c>
    </row>
    <row r="18" spans="1:20" ht="61.5">
      <c r="A18" s="5">
        <v>16</v>
      </c>
      <c r="B18" s="7" t="s">
        <v>87</v>
      </c>
      <c r="C18" s="10">
        <v>7.66</v>
      </c>
      <c r="D18" s="24">
        <v>6.58</v>
      </c>
      <c r="E18" s="7">
        <v>7</v>
      </c>
      <c r="F18" s="25">
        <v>6</v>
      </c>
      <c r="G18" s="25">
        <v>11</v>
      </c>
      <c r="H18" s="7">
        <v>0.19</v>
      </c>
      <c r="I18" s="25">
        <v>0.02</v>
      </c>
      <c r="J18" s="7">
        <v>0.05</v>
      </c>
      <c r="K18" s="7">
        <v>3411</v>
      </c>
      <c r="L18" s="27">
        <v>0.86</v>
      </c>
      <c r="M18" s="7">
        <v>9300</v>
      </c>
      <c r="N18" s="7" t="s">
        <v>88</v>
      </c>
      <c r="O18" s="7" t="s">
        <v>89</v>
      </c>
      <c r="P18" s="9" t="s">
        <v>90</v>
      </c>
      <c r="Q18" s="28">
        <v>45126</v>
      </c>
      <c r="R18" s="29">
        <f t="shared" si="0"/>
        <v>45126</v>
      </c>
      <c r="S18" s="28">
        <f t="shared" si="1"/>
        <v>45133</v>
      </c>
      <c r="T18" s="1" t="s">
        <v>49</v>
      </c>
    </row>
    <row r="19" spans="1:20" ht="76.900000000000006">
      <c r="A19" s="5">
        <v>17</v>
      </c>
      <c r="B19" s="7" t="s">
        <v>32</v>
      </c>
      <c r="C19" s="10">
        <v>7.41</v>
      </c>
      <c r="D19" s="24">
        <v>6.68</v>
      </c>
      <c r="E19" s="25">
        <v>11</v>
      </c>
      <c r="F19" s="7">
        <v>6</v>
      </c>
      <c r="G19" s="7">
        <v>10</v>
      </c>
      <c r="H19" s="10">
        <v>0.06</v>
      </c>
      <c r="I19" s="27">
        <v>0.02</v>
      </c>
      <c r="J19" s="7">
        <v>0.03</v>
      </c>
      <c r="K19" s="7">
        <v>8</v>
      </c>
      <c r="L19" s="7">
        <v>0.64</v>
      </c>
      <c r="M19" s="7">
        <v>700</v>
      </c>
      <c r="N19" s="7" t="s">
        <v>91</v>
      </c>
      <c r="O19" s="7" t="s">
        <v>92</v>
      </c>
      <c r="P19" s="9" t="s">
        <v>93</v>
      </c>
      <c r="Q19" s="28">
        <v>45127</v>
      </c>
      <c r="R19" s="29">
        <f t="shared" si="0"/>
        <v>45127</v>
      </c>
      <c r="S19" s="28">
        <f t="shared" si="1"/>
        <v>45134</v>
      </c>
    </row>
    <row r="20" spans="1:20" ht="46.15">
      <c r="A20" s="5">
        <v>18</v>
      </c>
      <c r="B20" s="7" t="s">
        <v>94</v>
      </c>
      <c r="C20" s="10">
        <v>6.7933333333333303</v>
      </c>
      <c r="D20" s="24">
        <v>6.37</v>
      </c>
      <c r="E20" s="7">
        <v>10</v>
      </c>
      <c r="F20" s="25">
        <v>7</v>
      </c>
      <c r="G20" s="25">
        <v>14</v>
      </c>
      <c r="H20" s="7">
        <v>0.13</v>
      </c>
      <c r="I20" s="25">
        <v>0.01</v>
      </c>
      <c r="J20" s="25" t="s">
        <v>50</v>
      </c>
      <c r="K20" s="7">
        <v>11</v>
      </c>
      <c r="L20" s="7">
        <v>0.52</v>
      </c>
      <c r="M20" s="7">
        <v>2100</v>
      </c>
      <c r="N20" s="7" t="s">
        <v>95</v>
      </c>
      <c r="O20" s="7" t="s">
        <v>96</v>
      </c>
      <c r="P20" s="9" t="s">
        <v>97</v>
      </c>
      <c r="Q20" s="28">
        <v>45127</v>
      </c>
      <c r="R20" s="29">
        <f t="shared" si="0"/>
        <v>45127</v>
      </c>
      <c r="S20" s="28">
        <f t="shared" si="1"/>
        <v>45134</v>
      </c>
    </row>
    <row r="21" spans="1:20" ht="76.900000000000006">
      <c r="A21" s="5">
        <v>19</v>
      </c>
      <c r="B21" s="7" t="s">
        <v>98</v>
      </c>
      <c r="C21" s="10">
        <v>8.09</v>
      </c>
      <c r="D21" s="24">
        <v>7.04</v>
      </c>
      <c r="E21" s="7">
        <v>11</v>
      </c>
      <c r="F21" s="25">
        <v>9</v>
      </c>
      <c r="G21" s="25">
        <v>16</v>
      </c>
      <c r="H21" s="7">
        <v>7.0000000000000007E-2</v>
      </c>
      <c r="I21" s="7">
        <v>0.03</v>
      </c>
      <c r="J21" s="7">
        <v>7.0000000000000007E-2</v>
      </c>
      <c r="K21" s="7">
        <v>5122</v>
      </c>
      <c r="L21" s="25">
        <v>0.45</v>
      </c>
      <c r="M21" s="7">
        <v>4300</v>
      </c>
      <c r="N21" s="7" t="s">
        <v>99</v>
      </c>
      <c r="O21" s="7" t="s">
        <v>100</v>
      </c>
      <c r="P21" s="17" t="s">
        <v>101</v>
      </c>
      <c r="Q21" s="28">
        <v>45127</v>
      </c>
      <c r="R21" s="29">
        <f t="shared" si="0"/>
        <v>45127</v>
      </c>
      <c r="S21" s="28">
        <f t="shared" si="1"/>
        <v>45134</v>
      </c>
    </row>
    <row r="22" spans="1:20" ht="92.25">
      <c r="A22" s="5">
        <v>20</v>
      </c>
      <c r="B22" s="7" t="s">
        <v>78</v>
      </c>
      <c r="C22" s="10">
        <v>6.84</v>
      </c>
      <c r="D22" s="24">
        <v>6.84</v>
      </c>
      <c r="E22" s="7">
        <v>16</v>
      </c>
      <c r="F22" s="7">
        <v>5</v>
      </c>
      <c r="G22" s="7">
        <v>10</v>
      </c>
      <c r="H22" s="7">
        <v>0.24</v>
      </c>
      <c r="I22" s="7">
        <v>0.03</v>
      </c>
      <c r="J22" s="25">
        <v>0.14000000000000001</v>
      </c>
      <c r="K22" s="7">
        <v>6</v>
      </c>
      <c r="L22" s="7">
        <v>1.33</v>
      </c>
      <c r="M22" s="7">
        <v>4</v>
      </c>
      <c r="N22" s="7" t="s">
        <v>102</v>
      </c>
      <c r="O22" s="7" t="s">
        <v>103</v>
      </c>
      <c r="P22" s="9" t="s">
        <v>104</v>
      </c>
      <c r="Q22" s="28">
        <v>45121</v>
      </c>
      <c r="R22" s="29">
        <f t="shared" si="0"/>
        <v>45121</v>
      </c>
      <c r="S22" s="28">
        <f t="shared" si="1"/>
        <v>45128</v>
      </c>
      <c r="T22" s="16" t="s">
        <v>45</v>
      </c>
    </row>
    <row r="23" spans="1:20" ht="61.5">
      <c r="A23" s="5">
        <v>21</v>
      </c>
      <c r="B23" s="7" t="s">
        <v>105</v>
      </c>
      <c r="C23" s="10">
        <v>6.68</v>
      </c>
      <c r="D23" s="24">
        <v>5.4</v>
      </c>
      <c r="E23" s="25">
        <v>15</v>
      </c>
      <c r="F23" s="25">
        <v>6</v>
      </c>
      <c r="G23" s="25">
        <v>12</v>
      </c>
      <c r="H23" s="7">
        <v>0.33</v>
      </c>
      <c r="I23" s="7">
        <v>0.17</v>
      </c>
      <c r="J23" s="7">
        <v>0.39</v>
      </c>
      <c r="K23" s="7">
        <v>11</v>
      </c>
      <c r="L23" s="10">
        <v>1.06</v>
      </c>
      <c r="M23" s="25">
        <v>4300</v>
      </c>
      <c r="N23" s="7" t="s">
        <v>106</v>
      </c>
      <c r="O23" s="7" t="s">
        <v>107</v>
      </c>
      <c r="P23" s="9" t="s">
        <v>108</v>
      </c>
      <c r="Q23" s="28">
        <v>45121</v>
      </c>
      <c r="R23" s="29">
        <f t="shared" si="0"/>
        <v>45121</v>
      </c>
      <c r="S23" s="28">
        <f t="shared" si="1"/>
        <v>45128</v>
      </c>
    </row>
    <row r="24" spans="1:20" ht="61.5">
      <c r="A24" s="5">
        <v>22</v>
      </c>
      <c r="B24" s="7" t="s">
        <v>109</v>
      </c>
      <c r="C24" s="10">
        <v>6.5733333333333297</v>
      </c>
      <c r="D24" s="24">
        <v>5.17</v>
      </c>
      <c r="E24" s="7">
        <v>10</v>
      </c>
      <c r="F24" s="7">
        <v>6</v>
      </c>
      <c r="G24" s="7">
        <v>11</v>
      </c>
      <c r="H24" s="10">
        <v>0.2</v>
      </c>
      <c r="I24" s="10">
        <v>0.1</v>
      </c>
      <c r="J24" s="25">
        <v>0.12</v>
      </c>
      <c r="K24" s="7">
        <v>456</v>
      </c>
      <c r="L24" s="27">
        <v>0.77</v>
      </c>
      <c r="M24" s="7">
        <v>4300</v>
      </c>
      <c r="N24" s="7" t="s">
        <v>110</v>
      </c>
      <c r="O24" s="7" t="s">
        <v>156</v>
      </c>
      <c r="P24" s="9" t="s">
        <v>112</v>
      </c>
      <c r="Q24" s="28">
        <v>45120</v>
      </c>
      <c r="R24" s="29">
        <f t="shared" si="0"/>
        <v>45120</v>
      </c>
      <c r="S24" s="28">
        <f t="shared" si="1"/>
        <v>45127</v>
      </c>
    </row>
    <row r="25" spans="1:20" ht="76.900000000000006">
      <c r="A25" s="5">
        <v>23</v>
      </c>
      <c r="B25" s="7" t="s">
        <v>113</v>
      </c>
      <c r="C25" s="10">
        <v>7.0133333333333301</v>
      </c>
      <c r="D25" s="24">
        <v>6.54</v>
      </c>
      <c r="E25" s="7">
        <v>11</v>
      </c>
      <c r="F25" s="25">
        <v>6</v>
      </c>
      <c r="G25" s="25">
        <v>13</v>
      </c>
      <c r="H25" s="7">
        <v>7.0000000000000007E-2</v>
      </c>
      <c r="I25" s="7">
        <v>0.04</v>
      </c>
      <c r="J25" s="7">
        <v>0.05</v>
      </c>
      <c r="K25" s="7">
        <v>6</v>
      </c>
      <c r="L25" s="10">
        <v>1.0900000000000001</v>
      </c>
      <c r="M25" s="25">
        <v>4300</v>
      </c>
      <c r="N25" s="7" t="s">
        <v>114</v>
      </c>
      <c r="O25" s="7" t="s">
        <v>115</v>
      </c>
      <c r="P25" s="9" t="s">
        <v>116</v>
      </c>
      <c r="Q25" s="28">
        <v>45126</v>
      </c>
      <c r="R25" s="29">
        <f t="shared" si="0"/>
        <v>45126</v>
      </c>
      <c r="S25" s="28">
        <f t="shared" si="1"/>
        <v>45133</v>
      </c>
    </row>
    <row r="26" spans="1:20" ht="46.15">
      <c r="A26" s="5">
        <v>24</v>
      </c>
      <c r="B26" s="7" t="s">
        <v>117</v>
      </c>
      <c r="C26" s="10">
        <v>7.15</v>
      </c>
      <c r="D26" s="24">
        <v>6.69</v>
      </c>
      <c r="E26" s="7">
        <v>29</v>
      </c>
      <c r="F26" s="7">
        <v>7</v>
      </c>
      <c r="G26" s="7">
        <v>12</v>
      </c>
      <c r="H26" s="7">
        <v>0.12</v>
      </c>
      <c r="I26" s="7">
        <v>0.02</v>
      </c>
      <c r="J26" s="7">
        <v>0.05</v>
      </c>
      <c r="K26" s="7">
        <v>13</v>
      </c>
      <c r="L26" s="7">
        <v>1.45</v>
      </c>
      <c r="M26" s="7">
        <v>430</v>
      </c>
      <c r="N26" s="7" t="s">
        <v>118</v>
      </c>
      <c r="O26" s="7" t="s">
        <v>119</v>
      </c>
      <c r="P26" s="9" t="s">
        <v>120</v>
      </c>
      <c r="Q26" s="28">
        <v>45127</v>
      </c>
      <c r="R26" s="29">
        <f t="shared" si="0"/>
        <v>45127</v>
      </c>
      <c r="S26" s="28">
        <f t="shared" si="1"/>
        <v>45134</v>
      </c>
    </row>
    <row r="27" spans="1:20" ht="61.5">
      <c r="A27" s="5">
        <v>25</v>
      </c>
      <c r="B27" s="7" t="s">
        <v>121</v>
      </c>
      <c r="C27" s="10">
        <v>7.21</v>
      </c>
      <c r="D27" s="24">
        <v>6.88</v>
      </c>
      <c r="E27" s="7">
        <v>28</v>
      </c>
      <c r="F27" s="7">
        <v>4</v>
      </c>
      <c r="G27" s="7">
        <v>7</v>
      </c>
      <c r="H27" s="10">
        <v>0.2</v>
      </c>
      <c r="I27" s="7">
        <v>0.08</v>
      </c>
      <c r="J27" s="10">
        <v>0.06</v>
      </c>
      <c r="K27" s="25">
        <v>20</v>
      </c>
      <c r="L27" s="7">
        <v>1.32</v>
      </c>
      <c r="M27" s="7">
        <v>2400</v>
      </c>
      <c r="N27" s="7" t="s">
        <v>122</v>
      </c>
      <c r="O27" s="7" t="s">
        <v>123</v>
      </c>
      <c r="P27" s="9" t="s">
        <v>124</v>
      </c>
      <c r="Q27" s="28">
        <v>45127</v>
      </c>
      <c r="R27" s="29">
        <f t="shared" si="0"/>
        <v>45127</v>
      </c>
      <c r="S27" s="28">
        <f t="shared" si="1"/>
        <v>45134</v>
      </c>
    </row>
    <row r="28" spans="1:20" ht="61.5">
      <c r="A28" s="5">
        <v>26</v>
      </c>
      <c r="B28" s="7" t="s">
        <v>125</v>
      </c>
      <c r="C28" s="10">
        <v>7.33</v>
      </c>
      <c r="D28" s="24">
        <v>4.9033333333333298</v>
      </c>
      <c r="E28" s="7">
        <v>16</v>
      </c>
      <c r="F28" s="25">
        <v>19</v>
      </c>
      <c r="G28" s="25">
        <v>35</v>
      </c>
      <c r="H28" s="10">
        <v>0.31</v>
      </c>
      <c r="I28" s="10">
        <v>0.17</v>
      </c>
      <c r="J28" s="10">
        <v>0.12</v>
      </c>
      <c r="K28" s="7">
        <v>25</v>
      </c>
      <c r="L28" s="10">
        <v>1.05</v>
      </c>
      <c r="M28" s="30">
        <v>9300</v>
      </c>
      <c r="N28" s="7" t="s">
        <v>126</v>
      </c>
      <c r="O28" s="7" t="s">
        <v>127</v>
      </c>
      <c r="P28" s="17" t="s">
        <v>128</v>
      </c>
      <c r="Q28" s="28">
        <v>45118</v>
      </c>
      <c r="R28" s="29">
        <f t="shared" si="0"/>
        <v>45118</v>
      </c>
      <c r="S28" s="28">
        <f t="shared" si="1"/>
        <v>45125</v>
      </c>
    </row>
    <row r="29" spans="1:20" ht="61.5">
      <c r="A29" s="5">
        <v>27</v>
      </c>
      <c r="B29" s="7" t="s">
        <v>129</v>
      </c>
      <c r="C29" s="10">
        <v>6.57</v>
      </c>
      <c r="D29" s="24">
        <v>4.25</v>
      </c>
      <c r="E29" s="25">
        <v>10</v>
      </c>
      <c r="F29" s="7">
        <v>3</v>
      </c>
      <c r="G29" s="7">
        <v>6</v>
      </c>
      <c r="H29" s="25">
        <v>0.56000000000000005</v>
      </c>
      <c r="I29" s="10">
        <v>7.0000000000000007E-2</v>
      </c>
      <c r="J29" s="7">
        <v>0.22</v>
      </c>
      <c r="K29" s="7">
        <v>5</v>
      </c>
      <c r="L29" s="18">
        <v>2.19</v>
      </c>
      <c r="M29" s="30">
        <v>9300</v>
      </c>
      <c r="N29" s="7" t="s">
        <v>130</v>
      </c>
      <c r="O29" s="7" t="s">
        <v>131</v>
      </c>
      <c r="P29" s="9" t="s">
        <v>132</v>
      </c>
      <c r="Q29" s="28">
        <v>45118</v>
      </c>
      <c r="R29" s="29">
        <f t="shared" si="0"/>
        <v>45118</v>
      </c>
      <c r="S29" s="28">
        <f t="shared" si="1"/>
        <v>45125</v>
      </c>
      <c r="T29" s="1" t="s">
        <v>83</v>
      </c>
    </row>
    <row r="30" spans="1:20" ht="61.5">
      <c r="A30" s="5">
        <v>28</v>
      </c>
      <c r="B30" s="7" t="s">
        <v>133</v>
      </c>
      <c r="C30" s="10">
        <v>6.7066666666666697</v>
      </c>
      <c r="D30" s="24">
        <v>6.12</v>
      </c>
      <c r="E30" s="25">
        <v>105</v>
      </c>
      <c r="F30" s="25">
        <v>20</v>
      </c>
      <c r="G30" s="25">
        <v>37</v>
      </c>
      <c r="H30" s="25">
        <v>2.5099999999999998</v>
      </c>
      <c r="I30" s="31">
        <v>5.17</v>
      </c>
      <c r="J30" s="20">
        <v>1.79</v>
      </c>
      <c r="K30" s="7">
        <v>24</v>
      </c>
      <c r="L30" s="10">
        <v>1.87</v>
      </c>
      <c r="M30" s="18">
        <v>110000</v>
      </c>
      <c r="N30" s="7" t="s">
        <v>134</v>
      </c>
      <c r="O30" s="7" t="s">
        <v>135</v>
      </c>
      <c r="P30" s="9" t="s">
        <v>136</v>
      </c>
      <c r="Q30" s="28">
        <v>45124</v>
      </c>
      <c r="R30" s="29">
        <f t="shared" si="0"/>
        <v>45124</v>
      </c>
      <c r="S30" s="28">
        <f t="shared" si="1"/>
        <v>45131</v>
      </c>
      <c r="T30" s="1" t="s">
        <v>87</v>
      </c>
    </row>
    <row r="31" spans="1:20" ht="76.900000000000006">
      <c r="A31" s="5">
        <v>29</v>
      </c>
      <c r="B31" s="7" t="s">
        <v>137</v>
      </c>
      <c r="C31" s="10">
        <v>6.51</v>
      </c>
      <c r="D31" s="24">
        <v>5.68333333333333</v>
      </c>
      <c r="E31" s="25">
        <v>19</v>
      </c>
      <c r="F31" s="32">
        <v>18</v>
      </c>
      <c r="G31" s="32">
        <v>36</v>
      </c>
      <c r="H31" s="10">
        <v>0.09</v>
      </c>
      <c r="I31" s="7">
        <v>0.19</v>
      </c>
      <c r="J31" s="27">
        <v>1.3</v>
      </c>
      <c r="K31" s="25">
        <v>13</v>
      </c>
      <c r="L31" s="18">
        <v>2.0499999999999998</v>
      </c>
      <c r="M31" s="18">
        <v>93000</v>
      </c>
      <c r="N31" s="7" t="s">
        <v>138</v>
      </c>
      <c r="O31" s="7" t="s">
        <v>139</v>
      </c>
      <c r="P31" s="9" t="s">
        <v>140</v>
      </c>
      <c r="Q31" s="28">
        <v>45119</v>
      </c>
      <c r="R31" s="29">
        <f t="shared" si="0"/>
        <v>45119</v>
      </c>
      <c r="S31" s="28">
        <f t="shared" si="1"/>
        <v>45126</v>
      </c>
    </row>
    <row r="32" spans="1:20" ht="46.15">
      <c r="A32" s="5">
        <v>30</v>
      </c>
      <c r="B32" s="7" t="s">
        <v>141</v>
      </c>
      <c r="C32" s="10">
        <v>7.8</v>
      </c>
      <c r="D32" s="24">
        <v>6.7466666666666697</v>
      </c>
      <c r="E32" s="7">
        <v>3</v>
      </c>
      <c r="F32" s="9">
        <v>3</v>
      </c>
      <c r="G32" s="7">
        <v>6</v>
      </c>
      <c r="H32" s="27" t="s">
        <v>157</v>
      </c>
      <c r="I32" s="25" t="s">
        <v>23</v>
      </c>
      <c r="J32" s="25">
        <v>0.26</v>
      </c>
      <c r="K32" s="9" t="s">
        <v>28</v>
      </c>
      <c r="L32" s="10">
        <v>7.0000000000000007E-2</v>
      </c>
      <c r="M32" s="7">
        <v>110</v>
      </c>
      <c r="N32" s="7" t="s">
        <v>142</v>
      </c>
      <c r="O32" s="7" t="s">
        <v>143</v>
      </c>
      <c r="P32" s="9" t="s">
        <v>144</v>
      </c>
      <c r="Q32" s="28">
        <v>45119</v>
      </c>
      <c r="R32" s="29">
        <f t="shared" si="0"/>
        <v>45119</v>
      </c>
      <c r="S32" s="28">
        <f t="shared" si="1"/>
        <v>45126</v>
      </c>
    </row>
    <row r="33" spans="1:20" ht="46.15">
      <c r="A33" s="5">
        <v>31</v>
      </c>
      <c r="B33" s="7" t="s">
        <v>145</v>
      </c>
      <c r="C33" s="10">
        <v>7.6233333333333304</v>
      </c>
      <c r="D33" s="24">
        <v>6.82</v>
      </c>
      <c r="E33" s="7">
        <v>7</v>
      </c>
      <c r="F33" s="7">
        <v>4</v>
      </c>
      <c r="G33" s="7">
        <v>7</v>
      </c>
      <c r="H33" s="10">
        <v>0.11</v>
      </c>
      <c r="I33" s="7">
        <v>0.02</v>
      </c>
      <c r="J33" s="7">
        <v>0.02</v>
      </c>
      <c r="K33" s="7">
        <v>431</v>
      </c>
      <c r="L33" s="7">
        <v>0.26</v>
      </c>
      <c r="M33" s="7">
        <v>150</v>
      </c>
      <c r="N33" s="7" t="s">
        <v>146</v>
      </c>
      <c r="O33" s="7" t="s">
        <v>147</v>
      </c>
      <c r="P33" s="9" t="s">
        <v>148</v>
      </c>
      <c r="Q33" s="28">
        <v>45127</v>
      </c>
      <c r="R33" s="29">
        <f t="shared" si="0"/>
        <v>45127</v>
      </c>
      <c r="S33" s="28">
        <f t="shared" si="1"/>
        <v>45134</v>
      </c>
      <c r="T33" s="1" t="s">
        <v>117</v>
      </c>
    </row>
  </sheetData>
  <mergeCells count="8">
    <mergeCell ref="R1:R2"/>
    <mergeCell ref="S1:S2"/>
    <mergeCell ref="A1:A2"/>
    <mergeCell ref="B1:B2"/>
    <mergeCell ref="N1:N2"/>
    <mergeCell ref="O1:O2"/>
    <mergeCell ref="P1:P2"/>
    <mergeCell ref="Q1:Q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8DC9-C25B-48BD-9758-E62D213680D2}">
  <dimension ref="A1:S33"/>
  <sheetViews>
    <sheetView tabSelected="1" topLeftCell="A30" workbookViewId="0">
      <selection activeCell="R1" sqref="R1:R1048576"/>
    </sheetView>
  </sheetViews>
  <sheetFormatPr defaultColWidth="34.9375" defaultRowHeight="16.5"/>
  <cols>
    <col min="1" max="1" width="4.875" style="1" bestFit="1" customWidth="1"/>
    <col min="2" max="2" width="12.1875" style="1" bestFit="1" customWidth="1"/>
    <col min="3" max="3" width="5.5" style="1" bestFit="1" customWidth="1"/>
    <col min="4" max="4" width="10" style="1" bestFit="1" customWidth="1"/>
    <col min="5" max="5" width="5.6875" style="1" bestFit="1" customWidth="1"/>
    <col min="6" max="8" width="6.3125" style="1" bestFit="1" customWidth="1"/>
    <col min="9" max="9" width="12.125" style="1" bestFit="1" customWidth="1"/>
    <col min="10" max="10" width="13.625" style="1" bestFit="1" customWidth="1"/>
    <col min="11" max="11" width="8.625" style="1" bestFit="1" customWidth="1"/>
    <col min="12" max="12" width="6.3125" style="1" bestFit="1" customWidth="1"/>
    <col min="13" max="13" width="11.75" style="1" bestFit="1" customWidth="1"/>
    <col min="14" max="14" width="12.0625" style="1" bestFit="1" customWidth="1"/>
    <col min="15" max="15" width="11.0625" style="1" bestFit="1" customWidth="1"/>
    <col min="16" max="16" width="34.875" style="1" bestFit="1" customWidth="1"/>
    <col min="17" max="17" width="13.625" style="23" bestFit="1" customWidth="1"/>
    <col min="18" max="19" width="9.8125" style="1" bestFit="1" customWidth="1"/>
    <col min="20" max="16384" width="34.9375" style="1"/>
  </cols>
  <sheetData>
    <row r="1" spans="1:19">
      <c r="A1" s="111" t="s">
        <v>0</v>
      </c>
      <c r="B1" s="113" t="s">
        <v>1</v>
      </c>
      <c r="C1" s="34" t="s">
        <v>2</v>
      </c>
      <c r="D1" s="34" t="s">
        <v>3</v>
      </c>
      <c r="E1" s="34" t="s">
        <v>4</v>
      </c>
      <c r="F1" s="2" t="s">
        <v>5</v>
      </c>
      <c r="G1" s="3" t="s">
        <v>6</v>
      </c>
      <c r="H1" s="35" t="s">
        <v>7</v>
      </c>
      <c r="I1" s="35" t="s">
        <v>8</v>
      </c>
      <c r="J1" s="35" t="s">
        <v>9</v>
      </c>
      <c r="K1" s="33" t="s">
        <v>10</v>
      </c>
      <c r="L1" s="35" t="s">
        <v>11</v>
      </c>
      <c r="M1" s="36" t="s">
        <v>12</v>
      </c>
      <c r="N1" s="111" t="s">
        <v>13</v>
      </c>
      <c r="O1" s="111" t="s">
        <v>14</v>
      </c>
      <c r="P1" s="115" t="s">
        <v>15</v>
      </c>
      <c r="Q1" s="117" t="s">
        <v>16</v>
      </c>
      <c r="R1" s="109" t="s">
        <v>17</v>
      </c>
      <c r="S1" s="109" t="s">
        <v>18</v>
      </c>
    </row>
    <row r="2" spans="1:19">
      <c r="A2" s="112"/>
      <c r="B2" s="114"/>
      <c r="C2" s="34"/>
      <c r="D2" s="34" t="s">
        <v>19</v>
      </c>
      <c r="E2" s="34" t="s">
        <v>20</v>
      </c>
      <c r="F2" s="2" t="s">
        <v>19</v>
      </c>
      <c r="G2" s="3" t="s">
        <v>19</v>
      </c>
      <c r="H2" s="35" t="s">
        <v>19</v>
      </c>
      <c r="I2" s="34" t="s">
        <v>20</v>
      </c>
      <c r="J2" s="35" t="s">
        <v>19</v>
      </c>
      <c r="K2" s="33" t="s">
        <v>19</v>
      </c>
      <c r="L2" s="35" t="s">
        <v>19</v>
      </c>
      <c r="M2" s="37" t="s">
        <v>21</v>
      </c>
      <c r="N2" s="112"/>
      <c r="O2" s="112"/>
      <c r="P2" s="116"/>
      <c r="Q2" s="118"/>
      <c r="R2" s="110"/>
      <c r="S2" s="110"/>
    </row>
    <row r="3" spans="1:19" ht="46.15">
      <c r="A3" s="36">
        <v>1</v>
      </c>
      <c r="B3" s="38" t="s">
        <v>22</v>
      </c>
      <c r="C3" s="39">
        <v>6.4166666666666696</v>
      </c>
      <c r="D3" s="40">
        <v>7.41</v>
      </c>
      <c r="E3" s="38">
        <v>6</v>
      </c>
      <c r="F3" s="7">
        <v>3</v>
      </c>
      <c r="G3" s="7">
        <v>7</v>
      </c>
      <c r="H3" s="38">
        <v>0.19</v>
      </c>
      <c r="I3" s="38" t="s">
        <v>23</v>
      </c>
      <c r="J3" s="38">
        <v>0.01</v>
      </c>
      <c r="K3" s="15">
        <v>6</v>
      </c>
      <c r="L3" s="39">
        <v>0.75</v>
      </c>
      <c r="M3" s="38">
        <v>4300</v>
      </c>
      <c r="N3" s="38" t="s">
        <v>24</v>
      </c>
      <c r="O3" s="38" t="s">
        <v>25</v>
      </c>
      <c r="P3" s="41" t="s">
        <v>26</v>
      </c>
      <c r="Q3" s="42">
        <v>45204</v>
      </c>
      <c r="R3" s="43">
        <f t="shared" ref="R3:R33" si="0">Q3</f>
        <v>45204</v>
      </c>
      <c r="S3" s="42">
        <f t="shared" ref="S3:S33" si="1">R3+7</f>
        <v>45211</v>
      </c>
    </row>
    <row r="4" spans="1:19" ht="46.15">
      <c r="A4" s="36">
        <v>2</v>
      </c>
      <c r="B4" s="38" t="s">
        <v>27</v>
      </c>
      <c r="C4" s="39">
        <v>7.0166666666666702</v>
      </c>
      <c r="D4" s="40">
        <v>7.09</v>
      </c>
      <c r="E4" s="38">
        <v>8</v>
      </c>
      <c r="F4" s="7">
        <v>2</v>
      </c>
      <c r="G4" s="7">
        <v>4</v>
      </c>
      <c r="H4" s="38">
        <v>0.2</v>
      </c>
      <c r="I4" s="38" t="s">
        <v>23</v>
      </c>
      <c r="J4" s="38">
        <v>0.02</v>
      </c>
      <c r="K4" s="38">
        <v>3</v>
      </c>
      <c r="L4" s="38">
        <v>0.19</v>
      </c>
      <c r="M4" s="38">
        <v>4300</v>
      </c>
      <c r="N4" s="38" t="s">
        <v>29</v>
      </c>
      <c r="O4" s="38" t="s">
        <v>30</v>
      </c>
      <c r="P4" s="44" t="s">
        <v>31</v>
      </c>
      <c r="Q4" s="42">
        <v>45204</v>
      </c>
      <c r="R4" s="43">
        <f t="shared" si="0"/>
        <v>45204</v>
      </c>
      <c r="S4" s="42">
        <f t="shared" si="1"/>
        <v>45211</v>
      </c>
    </row>
    <row r="5" spans="1:19" ht="61.5">
      <c r="A5" s="36">
        <v>3</v>
      </c>
      <c r="B5" s="38" t="s">
        <v>33</v>
      </c>
      <c r="C5" s="39">
        <v>7.3466666666666702</v>
      </c>
      <c r="D5" s="40">
        <v>6.85</v>
      </c>
      <c r="E5" s="38">
        <v>7</v>
      </c>
      <c r="F5" s="7">
        <v>4</v>
      </c>
      <c r="G5" s="7">
        <v>8</v>
      </c>
      <c r="H5" s="38">
        <v>0.24</v>
      </c>
      <c r="I5" s="38" t="s">
        <v>23</v>
      </c>
      <c r="J5" s="38">
        <v>0.03</v>
      </c>
      <c r="K5" s="44">
        <v>4</v>
      </c>
      <c r="L5" s="38">
        <v>0.65</v>
      </c>
      <c r="M5" s="38">
        <v>430</v>
      </c>
      <c r="N5" s="38" t="s">
        <v>34</v>
      </c>
      <c r="O5" s="38" t="s">
        <v>35</v>
      </c>
      <c r="P5" s="44" t="s">
        <v>149</v>
      </c>
      <c r="Q5" s="42">
        <v>45204</v>
      </c>
      <c r="R5" s="43">
        <f t="shared" si="0"/>
        <v>45204</v>
      </c>
      <c r="S5" s="42">
        <f t="shared" si="1"/>
        <v>45211</v>
      </c>
    </row>
    <row r="6" spans="1:19" ht="61.5">
      <c r="A6" s="36">
        <v>4</v>
      </c>
      <c r="B6" s="38" t="s">
        <v>37</v>
      </c>
      <c r="C6" s="39">
        <v>7.14</v>
      </c>
      <c r="D6" s="40">
        <v>6.09</v>
      </c>
      <c r="E6" s="38">
        <v>8</v>
      </c>
      <c r="F6" s="7">
        <v>3</v>
      </c>
      <c r="G6" s="7">
        <v>6</v>
      </c>
      <c r="H6" s="38">
        <v>0.23</v>
      </c>
      <c r="I6" s="38" t="s">
        <v>23</v>
      </c>
      <c r="J6" s="38">
        <v>0.03</v>
      </c>
      <c r="K6" s="44">
        <v>5</v>
      </c>
      <c r="L6" s="39">
        <v>0.6</v>
      </c>
      <c r="M6" s="38">
        <v>930</v>
      </c>
      <c r="N6" s="38" t="s">
        <v>38</v>
      </c>
      <c r="O6" s="38" t="s">
        <v>39</v>
      </c>
      <c r="P6" s="44" t="s">
        <v>40</v>
      </c>
      <c r="Q6" s="42">
        <v>45204</v>
      </c>
      <c r="R6" s="43">
        <f t="shared" si="0"/>
        <v>45204</v>
      </c>
      <c r="S6" s="42">
        <f t="shared" si="1"/>
        <v>45211</v>
      </c>
    </row>
    <row r="7" spans="1:19" ht="46.15">
      <c r="A7" s="36">
        <v>5</v>
      </c>
      <c r="B7" s="38" t="s">
        <v>41</v>
      </c>
      <c r="C7" s="39">
        <v>7.69</v>
      </c>
      <c r="D7" s="40">
        <v>6.32</v>
      </c>
      <c r="E7" s="38">
        <v>14</v>
      </c>
      <c r="F7" s="7">
        <v>2</v>
      </c>
      <c r="G7" s="7">
        <v>5</v>
      </c>
      <c r="H7" s="38">
        <v>0.24</v>
      </c>
      <c r="I7" s="38">
        <v>0.05</v>
      </c>
      <c r="J7" s="38">
        <v>0.45</v>
      </c>
      <c r="K7" s="38">
        <v>1903</v>
      </c>
      <c r="L7" s="39">
        <v>1.99</v>
      </c>
      <c r="M7" s="38">
        <v>24000</v>
      </c>
      <c r="N7" s="38" t="s">
        <v>42</v>
      </c>
      <c r="O7" s="38" t="s">
        <v>43</v>
      </c>
      <c r="P7" s="44" t="s">
        <v>44</v>
      </c>
      <c r="Q7" s="42">
        <v>45205</v>
      </c>
      <c r="R7" s="43">
        <f t="shared" si="0"/>
        <v>45205</v>
      </c>
      <c r="S7" s="42">
        <f t="shared" si="1"/>
        <v>45212</v>
      </c>
    </row>
    <row r="8" spans="1:19" ht="46.15">
      <c r="A8" s="36">
        <v>6</v>
      </c>
      <c r="B8" s="38" t="s">
        <v>45</v>
      </c>
      <c r="C8" s="39">
        <v>7.81666666666667</v>
      </c>
      <c r="D8" s="40">
        <v>6.9566666666666697</v>
      </c>
      <c r="E8" s="38">
        <v>46</v>
      </c>
      <c r="F8" s="7">
        <v>3</v>
      </c>
      <c r="G8" s="7">
        <v>5</v>
      </c>
      <c r="H8" s="39">
        <v>0.3</v>
      </c>
      <c r="I8" s="39">
        <v>0.03</v>
      </c>
      <c r="J8" s="38">
        <v>0.02</v>
      </c>
      <c r="K8" s="38" t="s">
        <v>28</v>
      </c>
      <c r="L8" s="38">
        <v>0.75</v>
      </c>
      <c r="M8" s="38">
        <v>930</v>
      </c>
      <c r="N8" s="38" t="s">
        <v>46</v>
      </c>
      <c r="O8" s="38" t="s">
        <v>47</v>
      </c>
      <c r="P8" s="44" t="s">
        <v>48</v>
      </c>
      <c r="Q8" s="42">
        <v>45217</v>
      </c>
      <c r="R8" s="43">
        <f t="shared" si="0"/>
        <v>45217</v>
      </c>
      <c r="S8" s="42">
        <f t="shared" si="1"/>
        <v>45224</v>
      </c>
    </row>
    <row r="9" spans="1:19" ht="46.15">
      <c r="A9" s="36">
        <v>7</v>
      </c>
      <c r="B9" s="38" t="s">
        <v>49</v>
      </c>
      <c r="C9" s="39">
        <v>7.16</v>
      </c>
      <c r="D9" s="40">
        <v>6.87</v>
      </c>
      <c r="E9" s="38">
        <v>33</v>
      </c>
      <c r="F9" s="7">
        <v>2</v>
      </c>
      <c r="G9" s="7">
        <v>7</v>
      </c>
      <c r="H9" s="39">
        <v>0.21</v>
      </c>
      <c r="I9" s="38">
        <v>0.03</v>
      </c>
      <c r="J9" s="45" t="s">
        <v>50</v>
      </c>
      <c r="K9" s="38">
        <v>3</v>
      </c>
      <c r="L9" s="39">
        <v>0.44</v>
      </c>
      <c r="M9" s="38">
        <v>430</v>
      </c>
      <c r="N9" s="38" t="s">
        <v>158</v>
      </c>
      <c r="O9" s="38" t="s">
        <v>150</v>
      </c>
      <c r="P9" s="44" t="s">
        <v>53</v>
      </c>
      <c r="Q9" s="42">
        <v>45210</v>
      </c>
      <c r="R9" s="43">
        <f t="shared" si="0"/>
        <v>45210</v>
      </c>
      <c r="S9" s="42">
        <f t="shared" si="1"/>
        <v>45217</v>
      </c>
    </row>
    <row r="10" spans="1:19" ht="46.15">
      <c r="A10" s="36">
        <v>8</v>
      </c>
      <c r="B10" s="38" t="s">
        <v>54</v>
      </c>
      <c r="C10" s="39">
        <v>6.8233333333333297</v>
      </c>
      <c r="D10" s="40">
        <v>7.3266666666666698</v>
      </c>
      <c r="E10" s="38">
        <v>68</v>
      </c>
      <c r="F10" s="7">
        <v>3</v>
      </c>
      <c r="G10" s="7">
        <v>7</v>
      </c>
      <c r="H10" s="38">
        <v>0.24</v>
      </c>
      <c r="I10" s="38">
        <v>0.04</v>
      </c>
      <c r="J10" s="45" t="s">
        <v>50</v>
      </c>
      <c r="K10" s="38">
        <v>4</v>
      </c>
      <c r="L10" s="38">
        <v>0.76</v>
      </c>
      <c r="M10" s="38">
        <v>930</v>
      </c>
      <c r="N10" s="38" t="s">
        <v>55</v>
      </c>
      <c r="O10" s="38" t="s">
        <v>56</v>
      </c>
      <c r="P10" s="46" t="s">
        <v>57</v>
      </c>
      <c r="Q10" s="42">
        <v>45210</v>
      </c>
      <c r="R10" s="43">
        <f t="shared" si="0"/>
        <v>45210</v>
      </c>
      <c r="S10" s="42">
        <f t="shared" si="1"/>
        <v>45217</v>
      </c>
    </row>
    <row r="11" spans="1:19" ht="46.15">
      <c r="A11" s="36">
        <v>9</v>
      </c>
      <c r="B11" s="38" t="s">
        <v>58</v>
      </c>
      <c r="C11" s="39">
        <v>7.9666666666666703</v>
      </c>
      <c r="D11" s="40">
        <v>7.14</v>
      </c>
      <c r="E11" s="38">
        <v>70</v>
      </c>
      <c r="F11" s="7">
        <v>4</v>
      </c>
      <c r="G11" s="7">
        <v>6</v>
      </c>
      <c r="H11" s="38">
        <v>0.26</v>
      </c>
      <c r="I11" s="44">
        <v>0.05</v>
      </c>
      <c r="J11" s="45" t="s">
        <v>50</v>
      </c>
      <c r="K11" s="38">
        <v>3</v>
      </c>
      <c r="L11" s="38">
        <v>0.45</v>
      </c>
      <c r="M11" s="38">
        <v>430</v>
      </c>
      <c r="N11" s="38" t="s">
        <v>59</v>
      </c>
      <c r="O11" s="38" t="s">
        <v>60</v>
      </c>
      <c r="P11" s="44" t="s">
        <v>61</v>
      </c>
      <c r="Q11" s="42">
        <v>45211</v>
      </c>
      <c r="R11" s="43">
        <f t="shared" si="0"/>
        <v>45211</v>
      </c>
      <c r="S11" s="42">
        <f t="shared" si="1"/>
        <v>45218</v>
      </c>
    </row>
    <row r="12" spans="1:19" ht="61.5">
      <c r="A12" s="36">
        <v>10</v>
      </c>
      <c r="B12" s="38" t="s">
        <v>62</v>
      </c>
      <c r="C12" s="39">
        <v>7.85</v>
      </c>
      <c r="D12" s="40">
        <v>7.2633333333333301</v>
      </c>
      <c r="E12" s="38">
        <v>22</v>
      </c>
      <c r="F12" s="7">
        <v>3</v>
      </c>
      <c r="G12" s="7">
        <v>6</v>
      </c>
      <c r="H12" s="38">
        <v>0.28999999999999998</v>
      </c>
      <c r="I12" s="38">
        <v>0.02</v>
      </c>
      <c r="J12" s="38">
        <v>0.04</v>
      </c>
      <c r="K12" s="38">
        <v>3</v>
      </c>
      <c r="L12" s="39">
        <v>0.69</v>
      </c>
      <c r="M12" s="38">
        <v>430</v>
      </c>
      <c r="N12" s="38" t="s">
        <v>151</v>
      </c>
      <c r="O12" s="38" t="s">
        <v>152</v>
      </c>
      <c r="P12" s="44" t="s">
        <v>65</v>
      </c>
      <c r="Q12" s="42">
        <v>45211</v>
      </c>
      <c r="R12" s="43">
        <f t="shared" si="0"/>
        <v>45211</v>
      </c>
      <c r="S12" s="42">
        <f t="shared" si="1"/>
        <v>45218</v>
      </c>
    </row>
    <row r="13" spans="1:19" ht="30.75">
      <c r="A13" s="36">
        <v>11</v>
      </c>
      <c r="B13" s="38" t="s">
        <v>67</v>
      </c>
      <c r="C13" s="39">
        <v>7.7366666666666699</v>
      </c>
      <c r="D13" s="40">
        <v>6.6766666666666703</v>
      </c>
      <c r="E13" s="38">
        <v>18</v>
      </c>
      <c r="F13" s="7">
        <v>4</v>
      </c>
      <c r="G13" s="7">
        <v>8</v>
      </c>
      <c r="H13" s="39">
        <v>0.19</v>
      </c>
      <c r="I13" s="44">
        <v>0.04</v>
      </c>
      <c r="J13" s="38">
        <v>0.21</v>
      </c>
      <c r="K13" s="38">
        <v>2170</v>
      </c>
      <c r="L13" s="39">
        <v>0.69</v>
      </c>
      <c r="M13" s="38">
        <v>9300</v>
      </c>
      <c r="N13" s="38" t="s">
        <v>68</v>
      </c>
      <c r="O13" s="38" t="s">
        <v>69</v>
      </c>
      <c r="P13" s="44" t="s">
        <v>70</v>
      </c>
      <c r="Q13" s="42">
        <v>45211</v>
      </c>
      <c r="R13" s="43">
        <f t="shared" si="0"/>
        <v>45211</v>
      </c>
      <c r="S13" s="42">
        <f t="shared" si="1"/>
        <v>45218</v>
      </c>
    </row>
    <row r="14" spans="1:19" ht="46.15">
      <c r="A14" s="36">
        <v>12</v>
      </c>
      <c r="B14" s="38" t="s">
        <v>71</v>
      </c>
      <c r="C14" s="39">
        <v>7.43</v>
      </c>
      <c r="D14" s="40">
        <v>7.04</v>
      </c>
      <c r="E14" s="38">
        <v>21</v>
      </c>
      <c r="F14" s="25">
        <v>3</v>
      </c>
      <c r="G14" s="25">
        <v>5</v>
      </c>
      <c r="H14" s="39">
        <v>0.61</v>
      </c>
      <c r="I14" s="38" t="s">
        <v>23</v>
      </c>
      <c r="J14" s="38">
        <v>0.01</v>
      </c>
      <c r="K14" s="38" t="s">
        <v>28</v>
      </c>
      <c r="L14" s="39">
        <v>0.74</v>
      </c>
      <c r="M14" s="38">
        <v>2400</v>
      </c>
      <c r="N14" s="38" t="s">
        <v>72</v>
      </c>
      <c r="O14" s="38" t="s">
        <v>73</v>
      </c>
      <c r="P14" s="41" t="s">
        <v>74</v>
      </c>
      <c r="Q14" s="42">
        <v>45217</v>
      </c>
      <c r="R14" s="43">
        <f t="shared" si="0"/>
        <v>45217</v>
      </c>
      <c r="S14" s="42">
        <f t="shared" si="1"/>
        <v>45224</v>
      </c>
    </row>
    <row r="15" spans="1:19" ht="46.15">
      <c r="A15" s="36">
        <v>13</v>
      </c>
      <c r="B15" s="38" t="s">
        <v>66</v>
      </c>
      <c r="C15" s="39">
        <v>7.4433333333333298</v>
      </c>
      <c r="D15" s="40">
        <v>7.1133333333333297</v>
      </c>
      <c r="E15" s="38">
        <v>19</v>
      </c>
      <c r="F15" s="25">
        <v>2</v>
      </c>
      <c r="G15" s="25">
        <v>5</v>
      </c>
      <c r="H15" s="38">
        <v>0.36</v>
      </c>
      <c r="I15" s="38" t="s">
        <v>23</v>
      </c>
      <c r="J15" s="38" t="s">
        <v>50</v>
      </c>
      <c r="K15" s="38" t="s">
        <v>28</v>
      </c>
      <c r="L15" s="38">
        <v>0.32</v>
      </c>
      <c r="M15" s="38">
        <v>930</v>
      </c>
      <c r="N15" s="38" t="s">
        <v>75</v>
      </c>
      <c r="O15" s="38" t="s">
        <v>76</v>
      </c>
      <c r="P15" s="44" t="s">
        <v>77</v>
      </c>
      <c r="Q15" s="42">
        <v>45217</v>
      </c>
      <c r="R15" s="43">
        <f t="shared" si="0"/>
        <v>45217</v>
      </c>
      <c r="S15" s="42">
        <f t="shared" si="1"/>
        <v>45224</v>
      </c>
    </row>
    <row r="16" spans="1:19" ht="46.15">
      <c r="A16" s="36">
        <v>14</v>
      </c>
      <c r="B16" s="38" t="s">
        <v>79</v>
      </c>
      <c r="C16" s="39">
        <v>7.2366666666666699</v>
      </c>
      <c r="D16" s="40">
        <v>7.1233333333333304</v>
      </c>
      <c r="E16" s="38">
        <v>39</v>
      </c>
      <c r="F16" s="7">
        <v>3</v>
      </c>
      <c r="G16" s="7">
        <v>7</v>
      </c>
      <c r="H16" s="38">
        <v>0.52</v>
      </c>
      <c r="I16" s="38" t="s">
        <v>23</v>
      </c>
      <c r="J16" s="38" t="s">
        <v>50</v>
      </c>
      <c r="K16" s="38">
        <v>4</v>
      </c>
      <c r="L16" s="38">
        <v>0.41</v>
      </c>
      <c r="M16" s="38">
        <v>2400</v>
      </c>
      <c r="N16" s="38" t="s">
        <v>153</v>
      </c>
      <c r="O16" s="38" t="s">
        <v>154</v>
      </c>
      <c r="P16" s="44" t="s">
        <v>82</v>
      </c>
      <c r="Q16" s="42">
        <v>45217</v>
      </c>
      <c r="R16" s="43">
        <f t="shared" si="0"/>
        <v>45217</v>
      </c>
      <c r="S16" s="42">
        <f t="shared" si="1"/>
        <v>45224</v>
      </c>
    </row>
    <row r="17" spans="1:19" ht="46.15">
      <c r="A17" s="36">
        <v>15</v>
      </c>
      <c r="B17" s="38" t="s">
        <v>83</v>
      </c>
      <c r="C17" s="39">
        <v>7.6533333333333298</v>
      </c>
      <c r="D17" s="40">
        <v>7.43333333333333</v>
      </c>
      <c r="E17" s="38">
        <v>8</v>
      </c>
      <c r="F17" s="9">
        <v>9</v>
      </c>
      <c r="G17" s="26">
        <v>13</v>
      </c>
      <c r="H17" s="39">
        <v>0.13</v>
      </c>
      <c r="I17" s="38" t="s">
        <v>23</v>
      </c>
      <c r="J17" s="38">
        <v>0.03</v>
      </c>
      <c r="K17" s="38">
        <v>5</v>
      </c>
      <c r="L17" s="38">
        <v>0.62</v>
      </c>
      <c r="M17" s="38">
        <v>2400</v>
      </c>
      <c r="N17" s="38" t="s">
        <v>155</v>
      </c>
      <c r="O17" s="38" t="s">
        <v>85</v>
      </c>
      <c r="P17" s="44" t="s">
        <v>86</v>
      </c>
      <c r="Q17" s="42">
        <v>45226</v>
      </c>
      <c r="R17" s="43">
        <f t="shared" si="0"/>
        <v>45226</v>
      </c>
      <c r="S17" s="42">
        <f t="shared" si="1"/>
        <v>45233</v>
      </c>
    </row>
    <row r="18" spans="1:19" ht="46.15">
      <c r="A18" s="36">
        <v>16</v>
      </c>
      <c r="B18" s="38" t="s">
        <v>87</v>
      </c>
      <c r="C18" s="39">
        <v>7.0933333333333302</v>
      </c>
      <c r="D18" s="40">
        <v>7.7333333333333298</v>
      </c>
      <c r="E18" s="38">
        <v>23</v>
      </c>
      <c r="F18" s="7">
        <v>12</v>
      </c>
      <c r="G18" s="7">
        <v>26</v>
      </c>
      <c r="H18" s="38">
        <v>0.12</v>
      </c>
      <c r="I18" s="38">
        <v>0.14000000000000001</v>
      </c>
      <c r="J18" s="38">
        <v>0.08</v>
      </c>
      <c r="K18" s="38">
        <v>190</v>
      </c>
      <c r="L18" s="39">
        <v>1.28</v>
      </c>
      <c r="M18" s="38">
        <v>4300</v>
      </c>
      <c r="N18" s="38" t="s">
        <v>88</v>
      </c>
      <c r="O18" s="38" t="s">
        <v>89</v>
      </c>
      <c r="P18" s="44" t="s">
        <v>90</v>
      </c>
      <c r="Q18" s="42">
        <v>45218</v>
      </c>
      <c r="R18" s="43">
        <f t="shared" si="0"/>
        <v>45218</v>
      </c>
      <c r="S18" s="42">
        <f t="shared" si="1"/>
        <v>45225</v>
      </c>
    </row>
    <row r="19" spans="1:19" ht="61.5">
      <c r="A19" s="36">
        <v>17</v>
      </c>
      <c r="B19" s="38" t="s">
        <v>32</v>
      </c>
      <c r="C19" s="39">
        <v>7.4733333333333301</v>
      </c>
      <c r="D19" s="40">
        <v>7.60666666666667</v>
      </c>
      <c r="E19" s="38">
        <v>14</v>
      </c>
      <c r="F19" s="7">
        <v>3</v>
      </c>
      <c r="G19" s="7">
        <v>6</v>
      </c>
      <c r="H19" s="39">
        <v>0.53</v>
      </c>
      <c r="I19" s="39">
        <v>8.9999999999999993E-3</v>
      </c>
      <c r="J19" s="38">
        <v>7.0000000000000007E-2</v>
      </c>
      <c r="K19" s="38" t="s">
        <v>28</v>
      </c>
      <c r="L19" s="38">
        <v>0.69</v>
      </c>
      <c r="M19" s="38">
        <v>2400</v>
      </c>
      <c r="N19" s="38" t="s">
        <v>91</v>
      </c>
      <c r="O19" s="38" t="s">
        <v>92</v>
      </c>
      <c r="P19" s="44" t="s">
        <v>93</v>
      </c>
      <c r="Q19" s="42">
        <v>45223</v>
      </c>
      <c r="R19" s="43">
        <f t="shared" si="0"/>
        <v>45223</v>
      </c>
      <c r="S19" s="42">
        <f t="shared" si="1"/>
        <v>45230</v>
      </c>
    </row>
    <row r="20" spans="1:19" ht="46.15">
      <c r="A20" s="36">
        <v>18</v>
      </c>
      <c r="B20" s="38" t="s">
        <v>94</v>
      </c>
      <c r="C20" s="39">
        <v>7.3366666666666696</v>
      </c>
      <c r="D20" s="40">
        <v>7.43</v>
      </c>
      <c r="E20" s="38">
        <v>9</v>
      </c>
      <c r="F20" s="7">
        <v>3</v>
      </c>
      <c r="G20" s="7">
        <v>7</v>
      </c>
      <c r="H20" s="38">
        <v>0.15</v>
      </c>
      <c r="I20" s="38">
        <v>0.02</v>
      </c>
      <c r="J20" s="38">
        <v>0.06</v>
      </c>
      <c r="K20" s="38">
        <v>6</v>
      </c>
      <c r="L20" s="38">
        <v>0.74</v>
      </c>
      <c r="M20" s="38">
        <v>930</v>
      </c>
      <c r="N20" s="38" t="s">
        <v>95</v>
      </c>
      <c r="O20" s="38" t="s">
        <v>96</v>
      </c>
      <c r="P20" s="44" t="s">
        <v>97</v>
      </c>
      <c r="Q20" s="42">
        <v>45223</v>
      </c>
      <c r="R20" s="43">
        <f t="shared" si="0"/>
        <v>45223</v>
      </c>
      <c r="S20" s="42">
        <f t="shared" si="1"/>
        <v>45230</v>
      </c>
    </row>
    <row r="21" spans="1:19" ht="61.5">
      <c r="A21" s="36">
        <v>19</v>
      </c>
      <c r="B21" s="38" t="s">
        <v>98</v>
      </c>
      <c r="C21" s="39">
        <v>7.9233333333333302</v>
      </c>
      <c r="D21" s="40">
        <v>7.68</v>
      </c>
      <c r="E21" s="15">
        <v>30</v>
      </c>
      <c r="F21" s="7">
        <v>4</v>
      </c>
      <c r="G21" s="7">
        <v>10</v>
      </c>
      <c r="H21" s="38">
        <v>0.32</v>
      </c>
      <c r="I21" s="38">
        <v>7.0000000000000007E-2</v>
      </c>
      <c r="J21" s="38">
        <v>0.11</v>
      </c>
      <c r="K21" s="38">
        <v>926</v>
      </c>
      <c r="L21" s="38">
        <v>1.73</v>
      </c>
      <c r="M21" s="38">
        <v>2400</v>
      </c>
      <c r="N21" s="38" t="s">
        <v>99</v>
      </c>
      <c r="O21" s="38" t="s">
        <v>100</v>
      </c>
      <c r="P21" s="47" t="s">
        <v>101</v>
      </c>
      <c r="Q21" s="42">
        <v>45223</v>
      </c>
      <c r="R21" s="43">
        <f t="shared" si="0"/>
        <v>45223</v>
      </c>
      <c r="S21" s="42">
        <f t="shared" si="1"/>
        <v>45230</v>
      </c>
    </row>
    <row r="22" spans="1:19" ht="61.5">
      <c r="A22" s="36">
        <v>20</v>
      </c>
      <c r="B22" s="38" t="s">
        <v>78</v>
      </c>
      <c r="C22" s="39">
        <v>6.6766666666666703</v>
      </c>
      <c r="D22" s="40">
        <v>6.73</v>
      </c>
      <c r="E22" s="38">
        <v>18</v>
      </c>
      <c r="F22" s="7">
        <v>4</v>
      </c>
      <c r="G22" s="7">
        <v>11</v>
      </c>
      <c r="H22" s="38">
        <v>0.66</v>
      </c>
      <c r="I22" s="38">
        <v>0.22</v>
      </c>
      <c r="J22" s="38">
        <v>0.23</v>
      </c>
      <c r="K22" s="38">
        <v>11</v>
      </c>
      <c r="L22" s="38">
        <v>2.0499999999999998</v>
      </c>
      <c r="M22" s="38">
        <v>2400</v>
      </c>
      <c r="N22" s="38" t="s">
        <v>102</v>
      </c>
      <c r="O22" s="38" t="s">
        <v>103</v>
      </c>
      <c r="P22" s="44" t="s">
        <v>104</v>
      </c>
      <c r="Q22" s="42">
        <v>45226</v>
      </c>
      <c r="R22" s="43">
        <f t="shared" si="0"/>
        <v>45226</v>
      </c>
      <c r="S22" s="42">
        <f t="shared" si="1"/>
        <v>45233</v>
      </c>
    </row>
    <row r="23" spans="1:19" ht="46.15">
      <c r="A23" s="36">
        <v>21</v>
      </c>
      <c r="B23" s="38" t="s">
        <v>105</v>
      </c>
      <c r="C23" s="39">
        <v>6.54</v>
      </c>
      <c r="D23" s="40">
        <v>6.8366666666666696</v>
      </c>
      <c r="E23" s="38">
        <v>15</v>
      </c>
      <c r="F23" s="7">
        <v>3</v>
      </c>
      <c r="G23" s="7">
        <v>6</v>
      </c>
      <c r="H23" s="39">
        <v>0.3</v>
      </c>
      <c r="I23" s="38">
        <v>0.17</v>
      </c>
      <c r="J23" s="38">
        <v>0.39</v>
      </c>
      <c r="K23" s="38">
        <v>10</v>
      </c>
      <c r="L23" s="39">
        <v>1.91</v>
      </c>
      <c r="M23" s="25">
        <v>4300</v>
      </c>
      <c r="N23" s="38" t="s">
        <v>106</v>
      </c>
      <c r="O23" s="38" t="s">
        <v>107</v>
      </c>
      <c r="P23" s="44" t="s">
        <v>108</v>
      </c>
      <c r="Q23" s="42">
        <v>45226</v>
      </c>
      <c r="R23" s="43">
        <f t="shared" si="0"/>
        <v>45226</v>
      </c>
      <c r="S23" s="42">
        <f t="shared" si="1"/>
        <v>45233</v>
      </c>
    </row>
    <row r="24" spans="1:19" ht="46.15">
      <c r="A24" s="36">
        <v>22</v>
      </c>
      <c r="B24" s="38" t="s">
        <v>109</v>
      </c>
      <c r="C24" s="39">
        <v>7.3633333333333297</v>
      </c>
      <c r="D24" s="40">
        <v>5.6666666666666696</v>
      </c>
      <c r="E24" s="38">
        <v>13</v>
      </c>
      <c r="F24" s="7">
        <v>5</v>
      </c>
      <c r="G24" s="7">
        <v>12</v>
      </c>
      <c r="H24" s="39">
        <v>0.28000000000000003</v>
      </c>
      <c r="I24" s="39">
        <v>0.2</v>
      </c>
      <c r="J24" s="13">
        <v>0.23</v>
      </c>
      <c r="K24" s="38">
        <v>19</v>
      </c>
      <c r="L24" s="39">
        <v>2.0699999999999998</v>
      </c>
      <c r="M24" s="38">
        <v>2400</v>
      </c>
      <c r="N24" s="38" t="s">
        <v>110</v>
      </c>
      <c r="O24" s="38" t="s">
        <v>156</v>
      </c>
      <c r="P24" s="44" t="s">
        <v>112</v>
      </c>
      <c r="Q24" s="42">
        <v>45211</v>
      </c>
      <c r="R24" s="43">
        <f t="shared" si="0"/>
        <v>45211</v>
      </c>
      <c r="S24" s="42">
        <f t="shared" si="1"/>
        <v>45218</v>
      </c>
    </row>
    <row r="25" spans="1:19" ht="46.15">
      <c r="A25" s="36">
        <v>23</v>
      </c>
      <c r="B25" s="38" t="s">
        <v>113</v>
      </c>
      <c r="C25" s="39">
        <v>7.34</v>
      </c>
      <c r="D25" s="40">
        <v>6.93333333333333</v>
      </c>
      <c r="E25" s="38">
        <v>11</v>
      </c>
      <c r="F25" s="7">
        <v>5</v>
      </c>
      <c r="G25" s="7">
        <v>11</v>
      </c>
      <c r="H25" s="25">
        <v>0.1</v>
      </c>
      <c r="I25" s="38">
        <v>0.05</v>
      </c>
      <c r="J25" s="38">
        <v>0.02</v>
      </c>
      <c r="K25" s="38">
        <v>6</v>
      </c>
      <c r="L25" s="39">
        <v>1.28</v>
      </c>
      <c r="M25" s="38">
        <v>4300</v>
      </c>
      <c r="N25" s="38" t="s">
        <v>114</v>
      </c>
      <c r="O25" s="38" t="s">
        <v>115</v>
      </c>
      <c r="P25" s="44" t="s">
        <v>116</v>
      </c>
      <c r="Q25" s="42">
        <v>45218</v>
      </c>
      <c r="R25" s="43">
        <f t="shared" si="0"/>
        <v>45218</v>
      </c>
      <c r="S25" s="42">
        <f t="shared" si="1"/>
        <v>45225</v>
      </c>
    </row>
    <row r="26" spans="1:19" ht="46.15">
      <c r="A26" s="36">
        <v>24</v>
      </c>
      <c r="B26" s="38" t="s">
        <v>117</v>
      </c>
      <c r="C26" s="39">
        <v>7.1233333333333304</v>
      </c>
      <c r="D26" s="40">
        <v>5.9733333333333301</v>
      </c>
      <c r="E26" s="38">
        <v>21</v>
      </c>
      <c r="F26" s="7">
        <v>13</v>
      </c>
      <c r="G26" s="7">
        <v>31</v>
      </c>
      <c r="H26" s="38">
        <v>0.12</v>
      </c>
      <c r="I26" s="38">
        <v>0.06</v>
      </c>
      <c r="J26" s="38">
        <v>0.08</v>
      </c>
      <c r="K26" s="38">
        <v>9</v>
      </c>
      <c r="L26" s="38">
        <v>1.87</v>
      </c>
      <c r="M26" s="38">
        <v>930</v>
      </c>
      <c r="N26" s="38" t="s">
        <v>118</v>
      </c>
      <c r="O26" s="38" t="s">
        <v>119</v>
      </c>
      <c r="P26" s="44" t="s">
        <v>120</v>
      </c>
      <c r="Q26" s="42">
        <v>45223</v>
      </c>
      <c r="R26" s="43">
        <f t="shared" si="0"/>
        <v>45223</v>
      </c>
      <c r="S26" s="42">
        <f t="shared" si="1"/>
        <v>45230</v>
      </c>
    </row>
    <row r="27" spans="1:19" ht="46.15">
      <c r="A27" s="36">
        <v>25</v>
      </c>
      <c r="B27" s="38" t="s">
        <v>121</v>
      </c>
      <c r="C27" s="39">
        <v>6.91</v>
      </c>
      <c r="D27" s="40">
        <v>5.7233333333333301</v>
      </c>
      <c r="E27" s="38">
        <v>14</v>
      </c>
      <c r="F27" s="7">
        <v>9</v>
      </c>
      <c r="G27" s="7">
        <v>17</v>
      </c>
      <c r="H27" s="39">
        <v>0.11</v>
      </c>
      <c r="I27" s="38">
        <v>0.05</v>
      </c>
      <c r="J27" s="39">
        <v>6.0999999999999999E-2</v>
      </c>
      <c r="K27" s="15">
        <v>16</v>
      </c>
      <c r="L27" s="15">
        <v>1.63</v>
      </c>
      <c r="M27" s="38">
        <v>4300</v>
      </c>
      <c r="N27" s="38" t="s">
        <v>122</v>
      </c>
      <c r="O27" s="38" t="s">
        <v>123</v>
      </c>
      <c r="P27" s="44" t="s">
        <v>124</v>
      </c>
      <c r="Q27" s="42">
        <v>45223</v>
      </c>
      <c r="R27" s="43">
        <f t="shared" si="0"/>
        <v>45223</v>
      </c>
      <c r="S27" s="42">
        <f t="shared" si="1"/>
        <v>45230</v>
      </c>
    </row>
    <row r="28" spans="1:19" ht="46.15">
      <c r="A28" s="36">
        <v>26</v>
      </c>
      <c r="B28" s="38" t="s">
        <v>125</v>
      </c>
      <c r="C28" s="39">
        <v>6.5433333333333303</v>
      </c>
      <c r="D28" s="40">
        <v>6.2233333333333301</v>
      </c>
      <c r="E28" s="38">
        <v>12</v>
      </c>
      <c r="F28" s="7">
        <v>15</v>
      </c>
      <c r="G28" s="7">
        <v>24</v>
      </c>
      <c r="H28" s="39">
        <v>0.34</v>
      </c>
      <c r="I28" s="48">
        <v>0.4</v>
      </c>
      <c r="J28" s="10">
        <v>2.99</v>
      </c>
      <c r="K28" s="38">
        <v>21</v>
      </c>
      <c r="L28" s="39">
        <v>1.87</v>
      </c>
      <c r="M28" s="38">
        <v>930</v>
      </c>
      <c r="N28" s="38" t="s">
        <v>126</v>
      </c>
      <c r="O28" s="38" t="s">
        <v>127</v>
      </c>
      <c r="P28" s="47" t="s">
        <v>128</v>
      </c>
      <c r="Q28" s="42">
        <v>45224</v>
      </c>
      <c r="R28" s="43">
        <f t="shared" si="0"/>
        <v>45224</v>
      </c>
      <c r="S28" s="42">
        <f t="shared" si="1"/>
        <v>45231</v>
      </c>
    </row>
    <row r="29" spans="1:19" ht="46.15">
      <c r="A29" s="36">
        <v>27</v>
      </c>
      <c r="B29" s="38" t="s">
        <v>129</v>
      </c>
      <c r="C29" s="39">
        <v>6.2566666666666704</v>
      </c>
      <c r="D29" s="40">
        <v>6.28</v>
      </c>
      <c r="E29" s="38">
        <v>19</v>
      </c>
      <c r="F29" s="7">
        <v>12</v>
      </c>
      <c r="G29" s="7">
        <v>21</v>
      </c>
      <c r="H29" s="38">
        <v>0.55000000000000004</v>
      </c>
      <c r="I29" s="48">
        <v>0.43</v>
      </c>
      <c r="J29" s="38">
        <v>4.29</v>
      </c>
      <c r="K29" s="38">
        <v>19</v>
      </c>
      <c r="L29" s="49">
        <v>2.15</v>
      </c>
      <c r="M29" s="38">
        <v>430</v>
      </c>
      <c r="N29" s="38" t="s">
        <v>130</v>
      </c>
      <c r="O29" s="38" t="s">
        <v>131</v>
      </c>
      <c r="P29" s="44" t="s">
        <v>132</v>
      </c>
      <c r="Q29" s="42">
        <v>45224</v>
      </c>
      <c r="R29" s="43">
        <f t="shared" si="0"/>
        <v>45224</v>
      </c>
      <c r="S29" s="42">
        <f t="shared" si="1"/>
        <v>45231</v>
      </c>
    </row>
    <row r="30" spans="1:19" ht="46.15">
      <c r="A30" s="36">
        <v>28</v>
      </c>
      <c r="B30" s="38" t="s">
        <v>133</v>
      </c>
      <c r="C30" s="39">
        <v>6.5366666666666697</v>
      </c>
      <c r="D30" s="40">
        <v>5.7433333333333296</v>
      </c>
      <c r="E30" s="38">
        <v>19</v>
      </c>
      <c r="F30" s="7">
        <v>14</v>
      </c>
      <c r="G30" s="7">
        <v>25</v>
      </c>
      <c r="H30" s="38">
        <v>1.67</v>
      </c>
      <c r="I30" s="39">
        <v>0.49</v>
      </c>
      <c r="J30" s="39">
        <v>1.68</v>
      </c>
      <c r="K30" s="38">
        <v>34</v>
      </c>
      <c r="L30" s="39">
        <v>0.82</v>
      </c>
      <c r="M30" s="38">
        <v>93000</v>
      </c>
      <c r="N30" s="38" t="s">
        <v>134</v>
      </c>
      <c r="O30" s="38" t="s">
        <v>135</v>
      </c>
      <c r="P30" s="44" t="s">
        <v>136</v>
      </c>
      <c r="Q30" s="42">
        <v>45225</v>
      </c>
      <c r="R30" s="43">
        <f t="shared" si="0"/>
        <v>45225</v>
      </c>
      <c r="S30" s="42">
        <f t="shared" si="1"/>
        <v>45232</v>
      </c>
    </row>
    <row r="31" spans="1:19" ht="61.5">
      <c r="A31" s="36">
        <v>29</v>
      </c>
      <c r="B31" s="38" t="s">
        <v>137</v>
      </c>
      <c r="C31" s="39">
        <v>5.8233333333333297</v>
      </c>
      <c r="D31" s="40">
        <v>6.1133333333333297</v>
      </c>
      <c r="E31" s="38">
        <v>26</v>
      </c>
      <c r="F31" s="21">
        <v>18</v>
      </c>
      <c r="G31" s="21">
        <v>42</v>
      </c>
      <c r="H31" s="19">
        <v>0.09</v>
      </c>
      <c r="I31" s="38">
        <v>0.19</v>
      </c>
      <c r="J31" s="39">
        <v>0.44</v>
      </c>
      <c r="K31" s="38">
        <v>16</v>
      </c>
      <c r="L31" s="49">
        <v>3.49</v>
      </c>
      <c r="M31" s="38">
        <v>930</v>
      </c>
      <c r="N31" s="38" t="s">
        <v>138</v>
      </c>
      <c r="O31" s="38" t="s">
        <v>159</v>
      </c>
      <c r="P31" s="44" t="s">
        <v>140</v>
      </c>
      <c r="Q31" s="42">
        <v>45225</v>
      </c>
      <c r="R31" s="43">
        <f t="shared" si="0"/>
        <v>45225</v>
      </c>
      <c r="S31" s="42">
        <f t="shared" si="1"/>
        <v>45232</v>
      </c>
    </row>
    <row r="32" spans="1:19" ht="46.15">
      <c r="A32" s="36">
        <v>30</v>
      </c>
      <c r="B32" s="38" t="s">
        <v>141</v>
      </c>
      <c r="C32" s="39">
        <v>7.67</v>
      </c>
      <c r="D32" s="40">
        <v>6.94</v>
      </c>
      <c r="E32" s="38">
        <v>7</v>
      </c>
      <c r="F32" s="9">
        <v>5</v>
      </c>
      <c r="G32" s="7">
        <v>8</v>
      </c>
      <c r="H32" s="19">
        <v>0.18</v>
      </c>
      <c r="I32" s="38" t="s">
        <v>23</v>
      </c>
      <c r="J32" s="45" t="s">
        <v>50</v>
      </c>
      <c r="K32" s="44">
        <v>4</v>
      </c>
      <c r="L32" s="39">
        <v>0.17</v>
      </c>
      <c r="M32" s="38">
        <v>430</v>
      </c>
      <c r="N32" s="38" t="s">
        <v>142</v>
      </c>
      <c r="O32" s="38" t="s">
        <v>143</v>
      </c>
      <c r="P32" s="44" t="s">
        <v>144</v>
      </c>
      <c r="Q32" s="42">
        <v>45210</v>
      </c>
      <c r="R32" s="43">
        <f t="shared" si="0"/>
        <v>45210</v>
      </c>
      <c r="S32" s="42">
        <f t="shared" si="1"/>
        <v>45217</v>
      </c>
    </row>
    <row r="33" spans="1:19" ht="46.15">
      <c r="A33" s="36">
        <v>31</v>
      </c>
      <c r="B33" s="38" t="s">
        <v>145</v>
      </c>
      <c r="C33" s="39">
        <v>8.07</v>
      </c>
      <c r="D33" s="40">
        <v>7.71</v>
      </c>
      <c r="E33" s="38">
        <v>55</v>
      </c>
      <c r="F33" s="7">
        <v>4</v>
      </c>
      <c r="G33" s="7">
        <v>10</v>
      </c>
      <c r="H33" s="39">
        <v>0.13</v>
      </c>
      <c r="I33" s="38">
        <v>0.04</v>
      </c>
      <c r="J33" s="38">
        <v>0.06</v>
      </c>
      <c r="K33" s="38">
        <v>64</v>
      </c>
      <c r="L33" s="38">
        <v>0.46</v>
      </c>
      <c r="M33" s="38">
        <v>4300</v>
      </c>
      <c r="N33" s="38" t="s">
        <v>146</v>
      </c>
      <c r="O33" s="38" t="s">
        <v>147</v>
      </c>
      <c r="P33" s="44" t="s">
        <v>148</v>
      </c>
      <c r="Q33" s="42">
        <v>45223</v>
      </c>
      <c r="R33" s="43">
        <f t="shared" si="0"/>
        <v>45223</v>
      </c>
      <c r="S33" s="42">
        <f t="shared" si="1"/>
        <v>45230</v>
      </c>
    </row>
  </sheetData>
  <mergeCells count="8">
    <mergeCell ref="R1:R2"/>
    <mergeCell ref="S1:S2"/>
    <mergeCell ref="A1:A2"/>
    <mergeCell ref="B1:B2"/>
    <mergeCell ref="N1:N2"/>
    <mergeCell ref="O1:O2"/>
    <mergeCell ref="P1:P2"/>
    <mergeCell ref="Q1:Q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E041-D718-474C-B2D7-1E8002DF8CA3}">
  <dimension ref="A1:Z33"/>
  <sheetViews>
    <sheetView topLeftCell="C29" workbookViewId="0">
      <selection activeCell="C34" sqref="A34:XFD38"/>
    </sheetView>
  </sheetViews>
  <sheetFormatPr defaultRowHeight="16.5"/>
  <cols>
    <col min="1" max="1" width="4.875" style="1" bestFit="1" customWidth="1"/>
    <col min="2" max="2" width="11.375" style="1" bestFit="1" customWidth="1"/>
    <col min="3" max="3" width="12.125" style="1" bestFit="1" customWidth="1"/>
    <col min="4" max="4" width="10.1875" style="1" bestFit="1" customWidth="1"/>
    <col min="5" max="5" width="6.3125" style="1" bestFit="1" customWidth="1"/>
    <col min="6" max="6" width="12.625" style="1" bestFit="1" customWidth="1"/>
    <col min="7" max="9" width="12.125" style="1" bestFit="1" customWidth="1"/>
    <col min="10" max="10" width="13.0625" style="1" bestFit="1" customWidth="1"/>
    <col min="11" max="11" width="8.375" style="1" bestFit="1" customWidth="1"/>
    <col min="12" max="12" width="5.5" style="1" bestFit="1" customWidth="1"/>
    <col min="13" max="13" width="8.4375" style="1" bestFit="1" customWidth="1"/>
    <col min="14" max="14" width="5.6875" style="1" bestFit="1" customWidth="1"/>
    <col min="15" max="17" width="6.3125" style="1" bestFit="1" customWidth="1"/>
    <col min="18" max="18" width="12.125" style="1" bestFit="1" customWidth="1"/>
    <col min="19" max="19" width="11.125" style="1" bestFit="1" customWidth="1"/>
    <col min="20" max="20" width="8.5625" style="1" bestFit="1" customWidth="1"/>
    <col min="21" max="21" width="12.0625" style="1" bestFit="1" customWidth="1"/>
    <col min="22" max="22" width="11.0625" style="1" bestFit="1" customWidth="1"/>
    <col min="23" max="23" width="26.875" style="1" bestFit="1" customWidth="1"/>
    <col min="24" max="24" width="13.625" style="23" bestFit="1" customWidth="1"/>
    <col min="25" max="26" width="10.9375" style="1" bestFit="1" customWidth="1"/>
    <col min="27" max="16384" width="9" style="1"/>
  </cols>
  <sheetData>
    <row r="1" spans="1:26" ht="33">
      <c r="A1" s="93" t="s">
        <v>0</v>
      </c>
      <c r="B1" s="95" t="s">
        <v>1</v>
      </c>
      <c r="C1" s="4" t="s">
        <v>160</v>
      </c>
      <c r="D1" s="50" t="s">
        <v>161</v>
      </c>
      <c r="E1" s="4" t="s">
        <v>11</v>
      </c>
      <c r="F1" s="2" t="s">
        <v>162</v>
      </c>
      <c r="G1" s="51" t="s">
        <v>163</v>
      </c>
      <c r="H1" s="51" t="s">
        <v>164</v>
      </c>
      <c r="I1" s="51" t="s">
        <v>165</v>
      </c>
      <c r="J1" s="50" t="s">
        <v>166</v>
      </c>
      <c r="K1" s="4" t="s">
        <v>167</v>
      </c>
      <c r="L1" s="3" t="s">
        <v>2</v>
      </c>
      <c r="M1" s="3" t="s">
        <v>3</v>
      </c>
      <c r="N1" s="3" t="s">
        <v>4</v>
      </c>
      <c r="O1" s="2" t="s">
        <v>5</v>
      </c>
      <c r="P1" s="3" t="s">
        <v>6</v>
      </c>
      <c r="Q1" s="4" t="s">
        <v>168</v>
      </c>
      <c r="R1" s="50" t="s">
        <v>169</v>
      </c>
      <c r="S1" s="4" t="s">
        <v>170</v>
      </c>
      <c r="T1" s="2" t="s">
        <v>171</v>
      </c>
      <c r="U1" s="93" t="s">
        <v>13</v>
      </c>
      <c r="V1" s="93" t="s">
        <v>14</v>
      </c>
      <c r="W1" s="97" t="s">
        <v>15</v>
      </c>
      <c r="X1" s="99" t="s">
        <v>16</v>
      </c>
      <c r="Y1" s="91" t="s">
        <v>17</v>
      </c>
      <c r="Z1" s="91" t="s">
        <v>18</v>
      </c>
    </row>
    <row r="2" spans="1:26">
      <c r="A2" s="94"/>
      <c r="B2" s="96"/>
      <c r="C2" s="4" t="s">
        <v>19</v>
      </c>
      <c r="D2" s="4" t="s">
        <v>19</v>
      </c>
      <c r="E2" s="4" t="s">
        <v>19</v>
      </c>
      <c r="F2" s="4" t="s">
        <v>19</v>
      </c>
      <c r="G2" s="4" t="s">
        <v>19</v>
      </c>
      <c r="H2" s="4" t="s">
        <v>19</v>
      </c>
      <c r="I2" s="4" t="s">
        <v>19</v>
      </c>
      <c r="J2" s="4" t="s">
        <v>19</v>
      </c>
      <c r="K2" s="4"/>
      <c r="L2" s="3"/>
      <c r="M2" s="3" t="s">
        <v>19</v>
      </c>
      <c r="N2" s="3" t="s">
        <v>20</v>
      </c>
      <c r="O2" s="2" t="s">
        <v>19</v>
      </c>
      <c r="P2" s="3" t="s">
        <v>19</v>
      </c>
      <c r="Q2" s="4" t="s">
        <v>19</v>
      </c>
      <c r="R2" s="2" t="s">
        <v>19</v>
      </c>
      <c r="S2" s="4" t="s">
        <v>19</v>
      </c>
      <c r="T2" s="4" t="s">
        <v>19</v>
      </c>
      <c r="U2" s="94"/>
      <c r="V2" s="94"/>
      <c r="W2" s="98"/>
      <c r="X2" s="100"/>
      <c r="Y2" s="92"/>
      <c r="Z2" s="92"/>
    </row>
    <row r="3" spans="1:26" ht="30.75">
      <c r="A3" s="5">
        <v>1</v>
      </c>
      <c r="B3" s="7" t="s">
        <v>22</v>
      </c>
      <c r="C3" s="10" t="s">
        <v>50</v>
      </c>
      <c r="D3" s="7" t="s">
        <v>28</v>
      </c>
      <c r="E3" s="10">
        <v>0.13</v>
      </c>
      <c r="F3" s="7" t="s">
        <v>172</v>
      </c>
      <c r="G3" s="7" t="s">
        <v>173</v>
      </c>
      <c r="H3" s="7">
        <v>2E-3</v>
      </c>
      <c r="I3" s="7">
        <v>1E-3</v>
      </c>
      <c r="J3" s="10" t="s">
        <v>174</v>
      </c>
      <c r="K3" s="22">
        <v>230</v>
      </c>
      <c r="L3" s="21">
        <v>6.97</v>
      </c>
      <c r="M3" s="12">
        <v>6.9</v>
      </c>
      <c r="N3" s="7">
        <v>2</v>
      </c>
      <c r="O3" s="7">
        <v>3</v>
      </c>
      <c r="P3" s="7">
        <v>6</v>
      </c>
      <c r="Q3" s="8"/>
      <c r="R3" s="7">
        <v>0.01</v>
      </c>
      <c r="S3" s="10" t="s">
        <v>175</v>
      </c>
      <c r="T3" s="52">
        <v>490</v>
      </c>
      <c r="U3" s="7" t="s">
        <v>24</v>
      </c>
      <c r="V3" s="7" t="s">
        <v>25</v>
      </c>
      <c r="W3" s="11" t="s">
        <v>176</v>
      </c>
      <c r="X3" s="28">
        <v>45931</v>
      </c>
      <c r="Y3" s="29">
        <f t="shared" ref="Y3:Y33" si="0">X3</f>
        <v>45931</v>
      </c>
      <c r="Z3" s="28">
        <f>Y3+10</f>
        <v>45941</v>
      </c>
    </row>
    <row r="4" spans="1:26" ht="61.5">
      <c r="A4" s="5">
        <v>2</v>
      </c>
      <c r="B4" s="7" t="s">
        <v>27</v>
      </c>
      <c r="C4" s="7" t="s">
        <v>50</v>
      </c>
      <c r="D4" s="7" t="s">
        <v>28</v>
      </c>
      <c r="E4" s="10">
        <v>0.13</v>
      </c>
      <c r="F4" s="7">
        <v>0.01</v>
      </c>
      <c r="G4" s="7" t="s">
        <v>173</v>
      </c>
      <c r="H4" s="7" t="s">
        <v>173</v>
      </c>
      <c r="I4" s="7">
        <v>2E-3</v>
      </c>
      <c r="J4" s="10" t="s">
        <v>174</v>
      </c>
      <c r="K4" s="7">
        <v>330</v>
      </c>
      <c r="L4" s="53">
        <v>7.14</v>
      </c>
      <c r="M4" s="12">
        <v>6.8</v>
      </c>
      <c r="N4" s="7">
        <v>2</v>
      </c>
      <c r="O4" s="7">
        <v>4</v>
      </c>
      <c r="P4" s="7">
        <v>7</v>
      </c>
      <c r="Q4" s="8"/>
      <c r="R4" s="7">
        <v>0.01</v>
      </c>
      <c r="S4" s="54">
        <v>0.11</v>
      </c>
      <c r="T4" s="52">
        <v>4900</v>
      </c>
      <c r="U4" s="7" t="s">
        <v>29</v>
      </c>
      <c r="V4" s="7" t="s">
        <v>30</v>
      </c>
      <c r="W4" s="9" t="s">
        <v>177</v>
      </c>
      <c r="X4" s="28">
        <v>45931</v>
      </c>
      <c r="Y4" s="29">
        <f t="shared" si="0"/>
        <v>45931</v>
      </c>
      <c r="Z4" s="28">
        <f>Y4+10</f>
        <v>45941</v>
      </c>
    </row>
    <row r="5" spans="1:26" ht="61.5">
      <c r="A5" s="5">
        <v>3</v>
      </c>
      <c r="B5" s="7" t="s">
        <v>33</v>
      </c>
      <c r="C5" s="7">
        <v>0.01</v>
      </c>
      <c r="D5" s="7" t="s">
        <v>28</v>
      </c>
      <c r="E5" s="7">
        <v>0.41</v>
      </c>
      <c r="F5" s="7">
        <v>0.01</v>
      </c>
      <c r="G5" s="7" t="s">
        <v>173</v>
      </c>
      <c r="H5" s="7" t="s">
        <v>173</v>
      </c>
      <c r="I5" s="7">
        <v>2E-3</v>
      </c>
      <c r="J5" s="10" t="s">
        <v>174</v>
      </c>
      <c r="K5" s="7">
        <v>68</v>
      </c>
      <c r="L5" s="21">
        <v>7.07</v>
      </c>
      <c r="M5" s="12">
        <v>6.5</v>
      </c>
      <c r="N5" s="7">
        <v>5</v>
      </c>
      <c r="O5" s="7">
        <v>4</v>
      </c>
      <c r="P5" s="7">
        <v>8</v>
      </c>
      <c r="Q5" s="7"/>
      <c r="R5" s="9">
        <v>0.02</v>
      </c>
      <c r="S5" s="7">
        <v>0.33</v>
      </c>
      <c r="T5" s="52">
        <v>330</v>
      </c>
      <c r="U5" s="7" t="s">
        <v>34</v>
      </c>
      <c r="V5" s="7" t="s">
        <v>35</v>
      </c>
      <c r="W5" s="9" t="s">
        <v>178</v>
      </c>
      <c r="X5" s="28">
        <v>45931</v>
      </c>
      <c r="Y5" s="29">
        <f t="shared" si="0"/>
        <v>45931</v>
      </c>
      <c r="Z5" s="28">
        <f>Y5+10</f>
        <v>45941</v>
      </c>
    </row>
    <row r="6" spans="1:26" ht="76.900000000000006">
      <c r="A6" s="5">
        <v>4</v>
      </c>
      <c r="B6" s="7" t="s">
        <v>37</v>
      </c>
      <c r="C6" s="10">
        <v>0.01</v>
      </c>
      <c r="D6" s="7" t="s">
        <v>28</v>
      </c>
      <c r="E6" s="10">
        <v>0.42</v>
      </c>
      <c r="F6" s="7">
        <v>0.01</v>
      </c>
      <c r="G6" s="7" t="s">
        <v>173</v>
      </c>
      <c r="H6" s="7">
        <v>5.0000000000000001E-3</v>
      </c>
      <c r="I6" s="7">
        <v>3.0000000000000001E-3</v>
      </c>
      <c r="J6" s="22" t="s">
        <v>174</v>
      </c>
      <c r="K6" s="22">
        <v>330</v>
      </c>
      <c r="L6" s="55">
        <v>7.15</v>
      </c>
      <c r="M6" s="56">
        <v>6.5</v>
      </c>
      <c r="N6" s="7">
        <v>4</v>
      </c>
      <c r="O6" s="7">
        <v>3</v>
      </c>
      <c r="P6" s="7">
        <v>6</v>
      </c>
      <c r="Q6" s="8"/>
      <c r="R6" s="9">
        <v>0.03</v>
      </c>
      <c r="S6" s="10">
        <v>0.31</v>
      </c>
      <c r="T6" s="52">
        <v>24000</v>
      </c>
      <c r="U6" s="7" t="s">
        <v>38</v>
      </c>
      <c r="V6" s="7" t="s">
        <v>39</v>
      </c>
      <c r="W6" s="9" t="s">
        <v>179</v>
      </c>
      <c r="X6" s="28">
        <v>45931</v>
      </c>
      <c r="Y6" s="29">
        <f t="shared" si="0"/>
        <v>45931</v>
      </c>
      <c r="Z6" s="28">
        <f>Y6+10</f>
        <v>45941</v>
      </c>
    </row>
    <row r="7" spans="1:26" ht="46.15">
      <c r="A7" s="5">
        <v>5</v>
      </c>
      <c r="B7" s="7" t="s">
        <v>41</v>
      </c>
      <c r="C7" s="10">
        <v>0.21</v>
      </c>
      <c r="D7" s="57">
        <v>2038</v>
      </c>
      <c r="E7" s="58">
        <v>0.73</v>
      </c>
      <c r="F7" s="7">
        <v>0.01</v>
      </c>
      <c r="G7" s="7" t="s">
        <v>173</v>
      </c>
      <c r="H7" s="7">
        <v>3.0000000000000001E-3</v>
      </c>
      <c r="I7" s="7">
        <v>3.0000000000000001E-3</v>
      </c>
      <c r="J7" s="10" t="s">
        <v>174</v>
      </c>
      <c r="K7" s="22">
        <v>2400</v>
      </c>
      <c r="L7" s="53">
        <v>6.8</v>
      </c>
      <c r="M7" s="12">
        <v>7.5</v>
      </c>
      <c r="N7" s="7">
        <v>7</v>
      </c>
      <c r="O7" s="7">
        <v>7</v>
      </c>
      <c r="P7" s="7"/>
      <c r="Q7" s="18">
        <v>8.51</v>
      </c>
      <c r="R7" s="7">
        <v>0.04</v>
      </c>
      <c r="S7" s="10">
        <v>0.35</v>
      </c>
      <c r="T7" s="52">
        <v>24000</v>
      </c>
      <c r="U7" s="7" t="s">
        <v>42</v>
      </c>
      <c r="V7" s="7" t="s">
        <v>43</v>
      </c>
      <c r="W7" s="9" t="s">
        <v>180</v>
      </c>
      <c r="X7" s="28">
        <v>45932</v>
      </c>
      <c r="Y7" s="29">
        <f t="shared" si="0"/>
        <v>45932</v>
      </c>
      <c r="Z7" s="28">
        <v>45960</v>
      </c>
    </row>
    <row r="8" spans="1:26" ht="46.15">
      <c r="A8" s="5">
        <v>6</v>
      </c>
      <c r="B8" s="7" t="s">
        <v>45</v>
      </c>
      <c r="C8" s="7">
        <v>0.01</v>
      </c>
      <c r="D8" s="7" t="s">
        <v>28</v>
      </c>
      <c r="E8" s="7">
        <v>0.28999999999999998</v>
      </c>
      <c r="F8" s="7">
        <v>0.01</v>
      </c>
      <c r="G8" s="7" t="s">
        <v>173</v>
      </c>
      <c r="H8" s="7" t="s">
        <v>173</v>
      </c>
      <c r="I8" s="59" t="s">
        <v>173</v>
      </c>
      <c r="J8" s="10" t="s">
        <v>174</v>
      </c>
      <c r="K8" s="7">
        <v>110</v>
      </c>
      <c r="L8" s="21">
        <v>6.78</v>
      </c>
      <c r="M8" s="56">
        <v>6.6</v>
      </c>
      <c r="N8" s="7">
        <v>9</v>
      </c>
      <c r="O8" s="7">
        <v>3</v>
      </c>
      <c r="P8" s="7">
        <v>6</v>
      </c>
      <c r="Q8" s="10"/>
      <c r="R8" s="7">
        <v>0.04</v>
      </c>
      <c r="S8" s="7">
        <v>0.62</v>
      </c>
      <c r="T8" s="52">
        <v>790</v>
      </c>
      <c r="U8" s="7" t="s">
        <v>46</v>
      </c>
      <c r="V8" s="7" t="s">
        <v>47</v>
      </c>
      <c r="W8" s="9" t="s">
        <v>181</v>
      </c>
      <c r="X8" s="28">
        <v>45937</v>
      </c>
      <c r="Y8" s="29">
        <f t="shared" si="0"/>
        <v>45937</v>
      </c>
      <c r="Z8" s="28">
        <f>Y8+10</f>
        <v>45947</v>
      </c>
    </row>
    <row r="9" spans="1:26" ht="46.15">
      <c r="A9" s="5">
        <v>7</v>
      </c>
      <c r="B9" s="7" t="s">
        <v>49</v>
      </c>
      <c r="C9" s="10">
        <v>0.02</v>
      </c>
      <c r="D9" s="10" t="s">
        <v>28</v>
      </c>
      <c r="E9" s="60">
        <v>0.7</v>
      </c>
      <c r="F9" s="7" t="s">
        <v>172</v>
      </c>
      <c r="G9" s="7" t="s">
        <v>173</v>
      </c>
      <c r="H9" s="7" t="s">
        <v>173</v>
      </c>
      <c r="I9" s="7">
        <v>5.0000000000000001E-3</v>
      </c>
      <c r="J9" s="10" t="s">
        <v>174</v>
      </c>
      <c r="K9" s="22">
        <v>230</v>
      </c>
      <c r="L9" s="21">
        <v>7.06</v>
      </c>
      <c r="M9" s="12">
        <v>6.5</v>
      </c>
      <c r="N9" s="7">
        <v>18</v>
      </c>
      <c r="O9" s="7">
        <v>3</v>
      </c>
      <c r="P9" s="7">
        <v>7</v>
      </c>
      <c r="Q9" s="10"/>
      <c r="R9" s="7">
        <v>0.04</v>
      </c>
      <c r="S9" s="61">
        <v>1.22</v>
      </c>
      <c r="T9" s="52">
        <v>2400</v>
      </c>
      <c r="U9" s="7" t="s">
        <v>158</v>
      </c>
      <c r="V9" s="7" t="s">
        <v>150</v>
      </c>
      <c r="W9" s="9" t="s">
        <v>182</v>
      </c>
      <c r="X9" s="28">
        <v>45938</v>
      </c>
      <c r="Y9" s="29">
        <f t="shared" si="0"/>
        <v>45938</v>
      </c>
      <c r="Z9" s="28">
        <f>Y9+10</f>
        <v>45948</v>
      </c>
    </row>
    <row r="10" spans="1:26" ht="61.5">
      <c r="A10" s="5">
        <v>8</v>
      </c>
      <c r="B10" s="7" t="s">
        <v>54</v>
      </c>
      <c r="C10" s="7">
        <v>0.01</v>
      </c>
      <c r="D10" s="10" t="s">
        <v>28</v>
      </c>
      <c r="E10" s="54">
        <v>0.44</v>
      </c>
      <c r="F10" s="7">
        <v>0.01</v>
      </c>
      <c r="G10" s="7" t="s">
        <v>173</v>
      </c>
      <c r="H10" s="7">
        <v>2E-3</v>
      </c>
      <c r="I10" s="7">
        <v>4.0000000000000001E-3</v>
      </c>
      <c r="J10" s="10" t="s">
        <v>174</v>
      </c>
      <c r="K10" s="7">
        <v>14</v>
      </c>
      <c r="L10" s="21">
        <v>6.86</v>
      </c>
      <c r="M10" s="12">
        <v>6.9</v>
      </c>
      <c r="N10" s="7">
        <v>15</v>
      </c>
      <c r="O10" s="7">
        <v>4</v>
      </c>
      <c r="P10" s="7">
        <v>9</v>
      </c>
      <c r="Q10" s="7"/>
      <c r="R10" s="7">
        <v>0.02</v>
      </c>
      <c r="S10" s="62">
        <v>1.25</v>
      </c>
      <c r="T10" s="52">
        <v>930</v>
      </c>
      <c r="U10" s="7" t="s">
        <v>55</v>
      </c>
      <c r="V10" s="7" t="s">
        <v>56</v>
      </c>
      <c r="W10" s="14" t="s">
        <v>183</v>
      </c>
      <c r="X10" s="28">
        <v>45938</v>
      </c>
      <c r="Y10" s="29">
        <f t="shared" si="0"/>
        <v>45938</v>
      </c>
      <c r="Z10" s="28">
        <f>Y10+10</f>
        <v>45948</v>
      </c>
    </row>
    <row r="11" spans="1:26" ht="61.5">
      <c r="A11" s="5">
        <v>9</v>
      </c>
      <c r="B11" s="7" t="s">
        <v>58</v>
      </c>
      <c r="C11" s="7" t="s">
        <v>50</v>
      </c>
      <c r="D11" s="10">
        <v>5</v>
      </c>
      <c r="E11" s="63">
        <v>0.96</v>
      </c>
      <c r="F11" s="7">
        <v>0.01</v>
      </c>
      <c r="G11" s="7" t="s">
        <v>173</v>
      </c>
      <c r="H11" s="7">
        <v>2E-3</v>
      </c>
      <c r="I11" s="54">
        <v>3.0000000000000001E-3</v>
      </c>
      <c r="J11" s="10" t="s">
        <v>174</v>
      </c>
      <c r="K11" s="7">
        <v>330</v>
      </c>
      <c r="L11" s="53">
        <v>7.4</v>
      </c>
      <c r="M11" s="12">
        <v>7.5</v>
      </c>
      <c r="N11" s="7">
        <v>11</v>
      </c>
      <c r="O11" s="7">
        <v>3</v>
      </c>
      <c r="P11" s="7">
        <v>7</v>
      </c>
      <c r="Q11" s="7"/>
      <c r="R11" s="7">
        <v>0.02</v>
      </c>
      <c r="S11" s="64">
        <v>0.45</v>
      </c>
      <c r="T11" s="52">
        <v>490</v>
      </c>
      <c r="U11" s="7" t="s">
        <v>59</v>
      </c>
      <c r="V11" s="7" t="s">
        <v>60</v>
      </c>
      <c r="W11" s="9" t="s">
        <v>184</v>
      </c>
      <c r="X11" s="28">
        <v>45938</v>
      </c>
      <c r="Y11" s="29">
        <f t="shared" si="0"/>
        <v>45938</v>
      </c>
      <c r="Z11" s="28">
        <f>Y11+10</f>
        <v>45948</v>
      </c>
    </row>
    <row r="12" spans="1:26" ht="61.5">
      <c r="A12" s="5">
        <v>10</v>
      </c>
      <c r="B12" s="7" t="s">
        <v>62</v>
      </c>
      <c r="C12" s="7">
        <v>0.01</v>
      </c>
      <c r="D12" s="22">
        <v>5</v>
      </c>
      <c r="E12" s="60">
        <v>0.7</v>
      </c>
      <c r="F12" s="10">
        <v>0.01</v>
      </c>
      <c r="G12" s="7" t="s">
        <v>173</v>
      </c>
      <c r="H12" s="7">
        <v>2E-3</v>
      </c>
      <c r="I12" s="54">
        <v>2E-3</v>
      </c>
      <c r="J12" s="10" t="s">
        <v>174</v>
      </c>
      <c r="K12" s="22">
        <v>230</v>
      </c>
      <c r="L12" s="21">
        <v>7.22</v>
      </c>
      <c r="M12" s="12">
        <v>7.3</v>
      </c>
      <c r="N12" s="7">
        <v>15</v>
      </c>
      <c r="O12" s="7">
        <v>3</v>
      </c>
      <c r="P12" s="7">
        <v>6</v>
      </c>
      <c r="Q12" s="7"/>
      <c r="R12" s="7">
        <v>0.05</v>
      </c>
      <c r="S12" s="7">
        <v>0.54</v>
      </c>
      <c r="T12" s="52">
        <v>3300</v>
      </c>
      <c r="U12" s="7" t="s">
        <v>151</v>
      </c>
      <c r="V12" s="7" t="s">
        <v>152</v>
      </c>
      <c r="W12" s="9" t="s">
        <v>185</v>
      </c>
      <c r="X12" s="28">
        <v>45938</v>
      </c>
      <c r="Y12" s="29">
        <f t="shared" si="0"/>
        <v>45938</v>
      </c>
      <c r="Z12" s="28">
        <f>Y12+10</f>
        <v>45948</v>
      </c>
    </row>
    <row r="13" spans="1:26" ht="46.15">
      <c r="A13" s="5">
        <v>11</v>
      </c>
      <c r="B13" s="7" t="s">
        <v>67</v>
      </c>
      <c r="C13" s="65">
        <v>0.25</v>
      </c>
      <c r="D13" s="57">
        <v>1096</v>
      </c>
      <c r="E13" s="10">
        <v>0.47</v>
      </c>
      <c r="F13" s="60">
        <v>7.0000000000000007E-2</v>
      </c>
      <c r="G13" s="7" t="s">
        <v>173</v>
      </c>
      <c r="H13" s="7" t="s">
        <v>173</v>
      </c>
      <c r="I13" s="66">
        <v>2E-3</v>
      </c>
      <c r="J13" s="10" t="s">
        <v>174</v>
      </c>
      <c r="K13" s="22">
        <v>3300</v>
      </c>
      <c r="L13" s="21">
        <v>7.16</v>
      </c>
      <c r="M13" s="12">
        <v>7.9</v>
      </c>
      <c r="N13" s="7">
        <v>10</v>
      </c>
      <c r="O13" s="7">
        <v>3</v>
      </c>
      <c r="P13" s="7"/>
      <c r="Q13" s="20">
        <v>9.24</v>
      </c>
      <c r="R13" s="7">
        <v>0.11</v>
      </c>
      <c r="S13" s="54">
        <v>1.07</v>
      </c>
      <c r="T13" s="52">
        <v>4900</v>
      </c>
      <c r="U13" s="7" t="s">
        <v>68</v>
      </c>
      <c r="V13" s="7" t="s">
        <v>69</v>
      </c>
      <c r="W13" s="9" t="s">
        <v>186</v>
      </c>
      <c r="X13" s="28">
        <v>45938</v>
      </c>
      <c r="Y13" s="29">
        <f t="shared" si="0"/>
        <v>45938</v>
      </c>
      <c r="Z13" s="28">
        <v>45953</v>
      </c>
    </row>
    <row r="14" spans="1:26" ht="46.15">
      <c r="A14" s="5">
        <v>12</v>
      </c>
      <c r="B14" s="7" t="s">
        <v>71</v>
      </c>
      <c r="C14" s="10">
        <v>0.01</v>
      </c>
      <c r="D14" s="22" t="s">
        <v>28</v>
      </c>
      <c r="E14" s="60">
        <v>0.56999999999999995</v>
      </c>
      <c r="F14" s="10" t="s">
        <v>172</v>
      </c>
      <c r="G14" s="10" t="s">
        <v>173</v>
      </c>
      <c r="H14" s="10" t="s">
        <v>173</v>
      </c>
      <c r="I14" s="59">
        <v>3.0000000000000001E-3</v>
      </c>
      <c r="J14" s="10" t="s">
        <v>174</v>
      </c>
      <c r="K14" s="67">
        <v>3300</v>
      </c>
      <c r="L14" s="21">
        <v>6.42</v>
      </c>
      <c r="M14" s="12">
        <v>6.49</v>
      </c>
      <c r="N14" s="7">
        <v>11</v>
      </c>
      <c r="O14" s="7">
        <v>3</v>
      </c>
      <c r="P14" s="7">
        <v>5</v>
      </c>
      <c r="Q14" s="10"/>
      <c r="R14" s="7">
        <v>0.03</v>
      </c>
      <c r="S14" s="10" t="s">
        <v>175</v>
      </c>
      <c r="T14" s="52">
        <v>24000</v>
      </c>
      <c r="U14" s="7" t="s">
        <v>72</v>
      </c>
      <c r="V14" s="7" t="s">
        <v>73</v>
      </c>
      <c r="W14" s="11" t="s">
        <v>187</v>
      </c>
      <c r="X14" s="28">
        <v>45937</v>
      </c>
      <c r="Y14" s="29">
        <f t="shared" si="0"/>
        <v>45937</v>
      </c>
      <c r="Z14" s="28">
        <f>Y14+10</f>
        <v>45947</v>
      </c>
    </row>
    <row r="15" spans="1:26" ht="46.15">
      <c r="A15" s="5">
        <v>13</v>
      </c>
      <c r="B15" s="7" t="s">
        <v>66</v>
      </c>
      <c r="C15" s="7">
        <v>0.01</v>
      </c>
      <c r="D15" s="7" t="s">
        <v>28</v>
      </c>
      <c r="E15" s="54">
        <v>0.23</v>
      </c>
      <c r="F15" s="7" t="s">
        <v>172</v>
      </c>
      <c r="G15" s="10" t="s">
        <v>173</v>
      </c>
      <c r="H15" s="10" t="s">
        <v>173</v>
      </c>
      <c r="I15" s="54">
        <v>1E-3</v>
      </c>
      <c r="J15" s="10" t="s">
        <v>174</v>
      </c>
      <c r="K15" s="7">
        <v>230</v>
      </c>
      <c r="L15" s="21">
        <v>7.48</v>
      </c>
      <c r="M15" s="56">
        <v>7.2</v>
      </c>
      <c r="N15" s="7">
        <v>8</v>
      </c>
      <c r="O15" s="7">
        <v>3</v>
      </c>
      <c r="P15" s="7">
        <v>7</v>
      </c>
      <c r="Q15" s="7"/>
      <c r="R15" s="7">
        <v>0.02</v>
      </c>
      <c r="S15" s="10">
        <v>0.63</v>
      </c>
      <c r="T15" s="52">
        <v>3300</v>
      </c>
      <c r="U15" s="7" t="s">
        <v>75</v>
      </c>
      <c r="V15" s="7" t="s">
        <v>76</v>
      </c>
      <c r="W15" s="9" t="s">
        <v>188</v>
      </c>
      <c r="X15" s="28">
        <v>45937</v>
      </c>
      <c r="Y15" s="29">
        <f t="shared" si="0"/>
        <v>45937</v>
      </c>
      <c r="Z15" s="28">
        <f>Y15+10</f>
        <v>45947</v>
      </c>
    </row>
    <row r="16" spans="1:26" ht="46.15">
      <c r="A16" s="5">
        <v>14</v>
      </c>
      <c r="B16" s="7" t="s">
        <v>79</v>
      </c>
      <c r="C16" s="7">
        <v>0.05</v>
      </c>
      <c r="D16" s="7">
        <v>5</v>
      </c>
      <c r="E16" s="65">
        <v>0.48</v>
      </c>
      <c r="F16" s="7">
        <v>0.01</v>
      </c>
      <c r="G16" s="7" t="s">
        <v>173</v>
      </c>
      <c r="H16" s="7">
        <v>2E-3</v>
      </c>
      <c r="I16" s="54">
        <v>2E-3</v>
      </c>
      <c r="J16" s="10" t="s">
        <v>174</v>
      </c>
      <c r="K16" s="7">
        <v>2400</v>
      </c>
      <c r="L16" s="53">
        <v>6.78</v>
      </c>
      <c r="M16" s="12">
        <v>5.5</v>
      </c>
      <c r="N16" s="7">
        <v>23</v>
      </c>
      <c r="O16" s="7">
        <v>4</v>
      </c>
      <c r="P16" s="7">
        <v>9</v>
      </c>
      <c r="Q16" s="7"/>
      <c r="R16" s="7">
        <v>0.02</v>
      </c>
      <c r="S16" s="65">
        <v>0.3</v>
      </c>
      <c r="T16" s="52">
        <v>2400</v>
      </c>
      <c r="U16" s="7" t="s">
        <v>153</v>
      </c>
      <c r="V16" s="7" t="s">
        <v>154</v>
      </c>
      <c r="W16" s="9" t="s">
        <v>189</v>
      </c>
      <c r="X16" s="28">
        <v>45937</v>
      </c>
      <c r="Y16" s="29">
        <f t="shared" si="0"/>
        <v>45937</v>
      </c>
      <c r="Z16" s="28">
        <f>Y16+10</f>
        <v>45947</v>
      </c>
    </row>
    <row r="17" spans="1:26" ht="46.15">
      <c r="A17" s="5">
        <v>15</v>
      </c>
      <c r="B17" s="7" t="s">
        <v>83</v>
      </c>
      <c r="C17" s="7">
        <v>0.02</v>
      </c>
      <c r="D17" s="7">
        <v>5</v>
      </c>
      <c r="E17" s="63">
        <v>0.59</v>
      </c>
      <c r="F17" s="7">
        <v>0.01</v>
      </c>
      <c r="G17" s="7" t="s">
        <v>173</v>
      </c>
      <c r="H17" s="7" t="s">
        <v>173</v>
      </c>
      <c r="I17" s="38" t="s">
        <v>173</v>
      </c>
      <c r="J17" s="10" t="s">
        <v>174</v>
      </c>
      <c r="K17" s="7">
        <v>330</v>
      </c>
      <c r="L17" s="53">
        <v>6.96</v>
      </c>
      <c r="M17" s="56">
        <v>6.3</v>
      </c>
      <c r="N17" s="7">
        <v>24</v>
      </c>
      <c r="O17" s="9">
        <v>5</v>
      </c>
      <c r="P17" s="9">
        <v>10</v>
      </c>
      <c r="Q17" s="10"/>
      <c r="R17" s="7">
        <v>0.06</v>
      </c>
      <c r="S17" s="7">
        <v>0.25</v>
      </c>
      <c r="T17" s="52">
        <v>2400</v>
      </c>
      <c r="U17" s="7" t="s">
        <v>155</v>
      </c>
      <c r="V17" s="7" t="s">
        <v>85</v>
      </c>
      <c r="W17" s="9" t="s">
        <v>190</v>
      </c>
      <c r="X17" s="28">
        <v>45937</v>
      </c>
      <c r="Y17" s="29">
        <f t="shared" si="0"/>
        <v>45937</v>
      </c>
      <c r="Z17" s="28">
        <f>Y17+10</f>
        <v>45947</v>
      </c>
    </row>
    <row r="18" spans="1:26" ht="46.15">
      <c r="A18" s="5">
        <v>16</v>
      </c>
      <c r="B18" s="7" t="s">
        <v>87</v>
      </c>
      <c r="C18" s="10">
        <v>0.08</v>
      </c>
      <c r="D18" s="57">
        <v>483</v>
      </c>
      <c r="E18" s="60">
        <v>0.76</v>
      </c>
      <c r="F18" s="10">
        <v>0.01</v>
      </c>
      <c r="G18" s="10" t="s">
        <v>173</v>
      </c>
      <c r="H18" s="10" t="s">
        <v>173</v>
      </c>
      <c r="I18" s="59">
        <v>1E-3</v>
      </c>
      <c r="J18" s="10" t="s">
        <v>174</v>
      </c>
      <c r="K18" s="22">
        <v>110</v>
      </c>
      <c r="L18" s="21">
        <v>7.04</v>
      </c>
      <c r="M18" s="56">
        <v>6.1</v>
      </c>
      <c r="N18" s="7">
        <v>13</v>
      </c>
      <c r="O18" s="7">
        <v>4</v>
      </c>
      <c r="P18" s="7"/>
      <c r="Q18" s="18">
        <v>7.05</v>
      </c>
      <c r="R18" s="7">
        <v>0.03</v>
      </c>
      <c r="S18" s="7">
        <v>0.19</v>
      </c>
      <c r="T18" s="52">
        <v>2400</v>
      </c>
      <c r="U18" s="7" t="s">
        <v>88</v>
      </c>
      <c r="V18" s="7" t="s">
        <v>89</v>
      </c>
      <c r="W18" s="9" t="s">
        <v>191</v>
      </c>
      <c r="X18" s="28">
        <v>45937</v>
      </c>
      <c r="Y18" s="29">
        <f t="shared" si="0"/>
        <v>45937</v>
      </c>
      <c r="Z18" s="28">
        <v>45953</v>
      </c>
    </row>
    <row r="19" spans="1:26" ht="76.900000000000006">
      <c r="A19" s="5">
        <v>17</v>
      </c>
      <c r="B19" s="7" t="s">
        <v>32</v>
      </c>
      <c r="C19" s="7">
        <v>0.15</v>
      </c>
      <c r="D19" s="7">
        <v>4</v>
      </c>
      <c r="E19" s="63">
        <v>1.17</v>
      </c>
      <c r="F19" s="7">
        <v>0.03</v>
      </c>
      <c r="G19" s="7" t="s">
        <v>173</v>
      </c>
      <c r="H19" s="7" t="s">
        <v>173</v>
      </c>
      <c r="I19" s="7" t="s">
        <v>173</v>
      </c>
      <c r="J19" s="10" t="s">
        <v>174</v>
      </c>
      <c r="K19" s="7">
        <v>68</v>
      </c>
      <c r="L19" s="21">
        <v>6.88</v>
      </c>
      <c r="M19" s="56">
        <v>7.5</v>
      </c>
      <c r="N19" s="7">
        <v>38</v>
      </c>
      <c r="O19" s="7">
        <v>3</v>
      </c>
      <c r="P19" s="7">
        <v>6</v>
      </c>
      <c r="Q19" s="10"/>
      <c r="R19" s="7">
        <v>0.09</v>
      </c>
      <c r="S19" s="38">
        <v>0.83</v>
      </c>
      <c r="T19" s="52">
        <v>1100</v>
      </c>
      <c r="U19" s="7" t="s">
        <v>91</v>
      </c>
      <c r="V19" s="7" t="s">
        <v>92</v>
      </c>
      <c r="W19" s="9" t="s">
        <v>192</v>
      </c>
      <c r="X19" s="28">
        <v>45951</v>
      </c>
      <c r="Y19" s="29">
        <f t="shared" si="0"/>
        <v>45951</v>
      </c>
      <c r="Z19" s="28">
        <f>Y19+10</f>
        <v>45961</v>
      </c>
    </row>
    <row r="20" spans="1:26" ht="46.15">
      <c r="A20" s="5">
        <v>18</v>
      </c>
      <c r="B20" s="7" t="s">
        <v>94</v>
      </c>
      <c r="C20" s="7">
        <v>0.11</v>
      </c>
      <c r="D20" s="7" t="s">
        <v>28</v>
      </c>
      <c r="E20" s="63">
        <v>1.35</v>
      </c>
      <c r="F20" s="7">
        <v>0.03</v>
      </c>
      <c r="G20" s="7" t="s">
        <v>173</v>
      </c>
      <c r="H20" s="7" t="s">
        <v>173</v>
      </c>
      <c r="I20" s="7" t="s">
        <v>173</v>
      </c>
      <c r="J20" s="10" t="s">
        <v>174</v>
      </c>
      <c r="K20" s="7">
        <v>110</v>
      </c>
      <c r="L20" s="21">
        <v>6.57</v>
      </c>
      <c r="M20" s="12">
        <v>7.4</v>
      </c>
      <c r="N20" s="7">
        <v>33</v>
      </c>
      <c r="O20" s="7">
        <v>3</v>
      </c>
      <c r="P20" s="7">
        <v>7</v>
      </c>
      <c r="Q20" s="7"/>
      <c r="R20" s="7">
        <v>0.1</v>
      </c>
      <c r="S20" s="38">
        <v>0.93</v>
      </c>
      <c r="T20" s="52">
        <v>2400</v>
      </c>
      <c r="U20" s="7" t="s">
        <v>95</v>
      </c>
      <c r="V20" s="7" t="s">
        <v>96</v>
      </c>
      <c r="W20" s="9" t="s">
        <v>193</v>
      </c>
      <c r="X20" s="28">
        <v>45951</v>
      </c>
      <c r="Y20" s="29">
        <f t="shared" si="0"/>
        <v>45951</v>
      </c>
      <c r="Z20" s="28">
        <f>Y20+10</f>
        <v>45961</v>
      </c>
    </row>
    <row r="21" spans="1:26" ht="61.5">
      <c r="A21" s="5">
        <v>19</v>
      </c>
      <c r="B21" s="7" t="s">
        <v>98</v>
      </c>
      <c r="C21" s="7">
        <v>0.24</v>
      </c>
      <c r="D21" s="54">
        <v>791</v>
      </c>
      <c r="E21" s="60">
        <v>1.66</v>
      </c>
      <c r="F21" s="7">
        <v>0.03</v>
      </c>
      <c r="G21" s="7" t="s">
        <v>173</v>
      </c>
      <c r="H21" s="7">
        <v>3.0000000000000001E-3</v>
      </c>
      <c r="I21" s="7">
        <v>2E-3</v>
      </c>
      <c r="J21" s="10" t="s">
        <v>174</v>
      </c>
      <c r="K21" s="67">
        <v>3300</v>
      </c>
      <c r="L21" s="21">
        <v>6.92</v>
      </c>
      <c r="M21" s="56">
        <v>8</v>
      </c>
      <c r="N21" s="7">
        <v>44</v>
      </c>
      <c r="O21" s="7">
        <v>4</v>
      </c>
      <c r="P21" s="7"/>
      <c r="Q21" s="20">
        <v>8.25</v>
      </c>
      <c r="R21" s="7">
        <v>0.23</v>
      </c>
      <c r="S21" s="63">
        <v>1.64</v>
      </c>
      <c r="T21" s="52">
        <v>3300</v>
      </c>
      <c r="U21" s="7" t="s">
        <v>194</v>
      </c>
      <c r="V21" s="7" t="s">
        <v>100</v>
      </c>
      <c r="W21" s="17" t="s">
        <v>195</v>
      </c>
      <c r="X21" s="28">
        <v>45951</v>
      </c>
      <c r="Y21" s="29">
        <f t="shared" si="0"/>
        <v>45951</v>
      </c>
      <c r="Z21" s="28">
        <v>45964</v>
      </c>
    </row>
    <row r="22" spans="1:26" ht="76.900000000000006">
      <c r="A22" s="5">
        <v>20</v>
      </c>
      <c r="B22" s="7" t="s">
        <v>78</v>
      </c>
      <c r="C22" s="68">
        <v>0.32</v>
      </c>
      <c r="D22" s="7">
        <v>9</v>
      </c>
      <c r="E22" s="60">
        <v>0.98</v>
      </c>
      <c r="F22" s="10">
        <v>0.03</v>
      </c>
      <c r="G22" s="7" t="s">
        <v>173</v>
      </c>
      <c r="H22" s="7" t="s">
        <v>173</v>
      </c>
      <c r="I22" s="10" t="s">
        <v>173</v>
      </c>
      <c r="J22" s="10" t="s">
        <v>174</v>
      </c>
      <c r="K22" s="7">
        <v>330</v>
      </c>
      <c r="L22" s="21">
        <v>6.65</v>
      </c>
      <c r="M22" s="12">
        <v>5.7</v>
      </c>
      <c r="N22" s="7">
        <v>27</v>
      </c>
      <c r="O22" s="7">
        <v>5</v>
      </c>
      <c r="P22" s="7">
        <v>8</v>
      </c>
      <c r="Q22" s="7"/>
      <c r="R22" s="7">
        <v>0.27</v>
      </c>
      <c r="S22" s="7">
        <v>0.92</v>
      </c>
      <c r="T22" s="52">
        <v>490</v>
      </c>
      <c r="U22" s="7" t="s">
        <v>102</v>
      </c>
      <c r="V22" s="7" t="s">
        <v>103</v>
      </c>
      <c r="W22" s="9" t="s">
        <v>196</v>
      </c>
      <c r="X22" s="28">
        <v>45945</v>
      </c>
      <c r="Y22" s="29">
        <f t="shared" si="0"/>
        <v>45945</v>
      </c>
      <c r="Z22" s="28">
        <f t="shared" ref="Z22:Z33" si="1">Y22+10</f>
        <v>45955</v>
      </c>
    </row>
    <row r="23" spans="1:26" ht="46.15">
      <c r="A23" s="5">
        <v>21</v>
      </c>
      <c r="B23" s="7" t="s">
        <v>105</v>
      </c>
      <c r="C23" s="60">
        <v>0.63</v>
      </c>
      <c r="D23" s="22">
        <v>13</v>
      </c>
      <c r="E23" s="65">
        <v>1.75</v>
      </c>
      <c r="F23" s="65">
        <v>0.04</v>
      </c>
      <c r="G23" s="7" t="s">
        <v>173</v>
      </c>
      <c r="H23" s="7" t="s">
        <v>173</v>
      </c>
      <c r="I23" s="10" t="s">
        <v>173</v>
      </c>
      <c r="J23" s="10" t="s">
        <v>174</v>
      </c>
      <c r="K23" s="22">
        <v>2400</v>
      </c>
      <c r="L23" s="21">
        <v>6.86</v>
      </c>
      <c r="M23" s="12">
        <v>6.4</v>
      </c>
      <c r="N23" s="7">
        <v>12</v>
      </c>
      <c r="O23" s="7">
        <v>3</v>
      </c>
      <c r="P23" s="7">
        <v>5</v>
      </c>
      <c r="Q23" s="10"/>
      <c r="R23" s="7">
        <v>0.28000000000000003</v>
      </c>
      <c r="S23" s="7">
        <v>1.36</v>
      </c>
      <c r="T23" s="52">
        <v>24000</v>
      </c>
      <c r="U23" s="7" t="s">
        <v>106</v>
      </c>
      <c r="V23" s="7" t="s">
        <v>107</v>
      </c>
      <c r="W23" s="9" t="s">
        <v>197</v>
      </c>
      <c r="X23" s="28">
        <v>45945</v>
      </c>
      <c r="Y23" s="29">
        <f t="shared" si="0"/>
        <v>45945</v>
      </c>
      <c r="Z23" s="28">
        <f t="shared" si="1"/>
        <v>45955</v>
      </c>
    </row>
    <row r="24" spans="1:26" ht="61.5">
      <c r="A24" s="5">
        <v>22</v>
      </c>
      <c r="B24" s="7" t="s">
        <v>109</v>
      </c>
      <c r="C24" s="60">
        <v>0.62</v>
      </c>
      <c r="D24" s="57">
        <v>73</v>
      </c>
      <c r="E24" s="10">
        <v>1.89</v>
      </c>
      <c r="F24" s="65">
        <v>0.04</v>
      </c>
      <c r="G24" s="10" t="s">
        <v>173</v>
      </c>
      <c r="H24" s="66">
        <v>4.0000000000000001E-3</v>
      </c>
      <c r="I24" s="59">
        <v>2E-3</v>
      </c>
      <c r="J24" s="10" t="s">
        <v>174</v>
      </c>
      <c r="K24" s="22">
        <v>2400</v>
      </c>
      <c r="L24" s="21">
        <v>6.95</v>
      </c>
      <c r="M24" s="12">
        <v>7.1</v>
      </c>
      <c r="N24" s="7">
        <v>18</v>
      </c>
      <c r="O24" s="7">
        <v>5</v>
      </c>
      <c r="P24" s="7">
        <v>10</v>
      </c>
      <c r="Q24" s="10"/>
      <c r="R24" s="7">
        <v>0.17</v>
      </c>
      <c r="S24" s="60">
        <v>1.6</v>
      </c>
      <c r="T24" s="52">
        <v>33000</v>
      </c>
      <c r="U24" s="7" t="s">
        <v>110</v>
      </c>
      <c r="V24" s="7" t="s">
        <v>156</v>
      </c>
      <c r="W24" s="9" t="s">
        <v>198</v>
      </c>
      <c r="X24" s="28">
        <v>45940</v>
      </c>
      <c r="Y24" s="29">
        <f t="shared" si="0"/>
        <v>45940</v>
      </c>
      <c r="Z24" s="28">
        <f t="shared" si="1"/>
        <v>45950</v>
      </c>
    </row>
    <row r="25" spans="1:26" ht="61.5">
      <c r="A25" s="5">
        <v>23</v>
      </c>
      <c r="B25" s="7" t="s">
        <v>113</v>
      </c>
      <c r="C25" s="10">
        <v>0.08</v>
      </c>
      <c r="D25" s="22">
        <v>24</v>
      </c>
      <c r="E25" s="65">
        <v>5.45</v>
      </c>
      <c r="F25" s="10">
        <v>0.02</v>
      </c>
      <c r="G25" s="7" t="s">
        <v>173</v>
      </c>
      <c r="H25" s="7" t="s">
        <v>173</v>
      </c>
      <c r="I25" s="10" t="s">
        <v>173</v>
      </c>
      <c r="J25" s="10" t="s">
        <v>174</v>
      </c>
      <c r="K25" s="22">
        <v>14</v>
      </c>
      <c r="L25" s="21">
        <v>7.01</v>
      </c>
      <c r="M25" s="12">
        <v>5.6</v>
      </c>
      <c r="N25" s="7">
        <v>22</v>
      </c>
      <c r="O25" s="18">
        <v>17</v>
      </c>
      <c r="P25" s="63">
        <v>39</v>
      </c>
      <c r="Q25" s="10"/>
      <c r="R25" s="10">
        <v>0.15</v>
      </c>
      <c r="S25" s="10">
        <v>1.4</v>
      </c>
      <c r="T25" s="52">
        <v>680</v>
      </c>
      <c r="U25" s="7" t="s">
        <v>114</v>
      </c>
      <c r="V25" s="7" t="s">
        <v>115</v>
      </c>
      <c r="W25" s="9" t="s">
        <v>199</v>
      </c>
      <c r="X25" s="28">
        <v>45946</v>
      </c>
      <c r="Y25" s="29">
        <f t="shared" si="0"/>
        <v>45946</v>
      </c>
      <c r="Z25" s="28">
        <f t="shared" si="1"/>
        <v>45956</v>
      </c>
    </row>
    <row r="26" spans="1:26" ht="46.15">
      <c r="A26" s="5">
        <v>24</v>
      </c>
      <c r="B26" s="7" t="s">
        <v>117</v>
      </c>
      <c r="C26" s="10">
        <v>0.06</v>
      </c>
      <c r="D26" s="54">
        <v>6</v>
      </c>
      <c r="E26" s="20">
        <v>1.25</v>
      </c>
      <c r="F26" s="7">
        <v>0.03</v>
      </c>
      <c r="G26" s="7" t="s">
        <v>173</v>
      </c>
      <c r="H26" s="7" t="s">
        <v>173</v>
      </c>
      <c r="I26" s="7" t="s">
        <v>173</v>
      </c>
      <c r="J26" s="10" t="s">
        <v>174</v>
      </c>
      <c r="K26" s="7">
        <v>68</v>
      </c>
      <c r="L26" s="21">
        <v>6.42</v>
      </c>
      <c r="M26" s="12">
        <v>6.6</v>
      </c>
      <c r="N26" s="7">
        <v>48</v>
      </c>
      <c r="O26" s="7">
        <v>5</v>
      </c>
      <c r="P26" s="7">
        <v>11</v>
      </c>
      <c r="Q26" s="7"/>
      <c r="R26" s="54">
        <v>0.19</v>
      </c>
      <c r="S26" s="7">
        <v>0.69</v>
      </c>
      <c r="T26" s="52">
        <v>2400</v>
      </c>
      <c r="U26" s="7" t="s">
        <v>118</v>
      </c>
      <c r="V26" s="7" t="s">
        <v>119</v>
      </c>
      <c r="W26" s="9" t="s">
        <v>200</v>
      </c>
      <c r="X26" s="28">
        <v>45951</v>
      </c>
      <c r="Y26" s="29">
        <f t="shared" si="0"/>
        <v>45951</v>
      </c>
      <c r="Z26" s="28">
        <f t="shared" si="1"/>
        <v>45961</v>
      </c>
    </row>
    <row r="27" spans="1:26" ht="46.15">
      <c r="A27" s="5">
        <v>25</v>
      </c>
      <c r="B27" s="7" t="s">
        <v>121</v>
      </c>
      <c r="C27" s="10">
        <v>7.0000000000000007E-2</v>
      </c>
      <c r="D27" s="54">
        <v>6</v>
      </c>
      <c r="E27" s="20">
        <v>1.47</v>
      </c>
      <c r="F27" s="7">
        <v>0.03</v>
      </c>
      <c r="G27" s="7" t="s">
        <v>173</v>
      </c>
      <c r="H27" s="7" t="s">
        <v>173</v>
      </c>
      <c r="I27" s="7" t="s">
        <v>173</v>
      </c>
      <c r="J27" s="10" t="s">
        <v>174</v>
      </c>
      <c r="K27" s="7">
        <v>400</v>
      </c>
      <c r="L27" s="21">
        <v>6.18</v>
      </c>
      <c r="M27" s="12">
        <v>6.5</v>
      </c>
      <c r="N27" s="7">
        <v>43</v>
      </c>
      <c r="O27" s="7">
        <v>4</v>
      </c>
      <c r="P27" s="7">
        <v>9</v>
      </c>
      <c r="Q27" s="10"/>
      <c r="R27" s="7">
        <v>0.17</v>
      </c>
      <c r="S27" s="10">
        <v>0.53</v>
      </c>
      <c r="T27" s="52">
        <v>24000</v>
      </c>
      <c r="U27" s="7" t="s">
        <v>122</v>
      </c>
      <c r="V27" s="7" t="s">
        <v>123</v>
      </c>
      <c r="W27" s="9" t="s">
        <v>201</v>
      </c>
      <c r="X27" s="28">
        <v>45951</v>
      </c>
      <c r="Y27" s="29">
        <f t="shared" si="0"/>
        <v>45951</v>
      </c>
      <c r="Z27" s="28">
        <f t="shared" si="1"/>
        <v>45961</v>
      </c>
    </row>
    <row r="28" spans="1:26" ht="46.15">
      <c r="A28" s="5">
        <v>26</v>
      </c>
      <c r="B28" s="7" t="s">
        <v>125</v>
      </c>
      <c r="C28" s="60">
        <v>6.72</v>
      </c>
      <c r="D28" s="22">
        <v>28</v>
      </c>
      <c r="E28" s="10">
        <v>1.88</v>
      </c>
      <c r="F28" s="60">
        <v>0.06</v>
      </c>
      <c r="G28" s="7" t="s">
        <v>173</v>
      </c>
      <c r="H28" s="7" t="s">
        <v>173</v>
      </c>
      <c r="I28" s="66">
        <v>4.0000000000000001E-3</v>
      </c>
      <c r="J28" s="10" t="s">
        <v>174</v>
      </c>
      <c r="K28" s="22">
        <v>330</v>
      </c>
      <c r="L28" s="21">
        <v>6.96</v>
      </c>
      <c r="M28" s="12">
        <v>6.2</v>
      </c>
      <c r="N28" s="7">
        <v>36</v>
      </c>
      <c r="O28" s="18">
        <v>10</v>
      </c>
      <c r="P28" s="63">
        <v>23</v>
      </c>
      <c r="Q28" s="10"/>
      <c r="R28" s="7">
        <v>2.02</v>
      </c>
      <c r="S28" s="60">
        <v>8.31</v>
      </c>
      <c r="T28" s="52">
        <v>24000</v>
      </c>
      <c r="U28" s="7" t="s">
        <v>126</v>
      </c>
      <c r="V28" s="7" t="s">
        <v>127</v>
      </c>
      <c r="W28" s="17" t="s">
        <v>202</v>
      </c>
      <c r="X28" s="28">
        <v>45943</v>
      </c>
      <c r="Y28" s="29">
        <f t="shared" si="0"/>
        <v>45943</v>
      </c>
      <c r="Z28" s="28">
        <f t="shared" si="1"/>
        <v>45953</v>
      </c>
    </row>
    <row r="29" spans="1:26" ht="61.5">
      <c r="A29" s="5">
        <v>27</v>
      </c>
      <c r="B29" s="7" t="s">
        <v>129</v>
      </c>
      <c r="C29" s="63">
        <v>0.76</v>
      </c>
      <c r="D29" s="22">
        <v>17</v>
      </c>
      <c r="E29" s="65">
        <v>5.39</v>
      </c>
      <c r="F29" s="7" t="s">
        <v>172</v>
      </c>
      <c r="G29" s="7" t="s">
        <v>173</v>
      </c>
      <c r="H29" s="7" t="s">
        <v>173</v>
      </c>
      <c r="I29" s="54">
        <v>2E-3</v>
      </c>
      <c r="J29" s="10" t="s">
        <v>174</v>
      </c>
      <c r="K29" s="7">
        <v>3300</v>
      </c>
      <c r="L29" s="21">
        <v>6.72</v>
      </c>
      <c r="M29" s="12">
        <v>6.5</v>
      </c>
      <c r="N29" s="7">
        <v>9</v>
      </c>
      <c r="O29" s="18">
        <v>16</v>
      </c>
      <c r="P29" s="63">
        <v>39</v>
      </c>
      <c r="Q29" s="7"/>
      <c r="R29" s="65">
        <v>0.37</v>
      </c>
      <c r="S29" s="63">
        <v>2.2200000000000002</v>
      </c>
      <c r="T29" s="52">
        <v>4900</v>
      </c>
      <c r="U29" s="7" t="s">
        <v>130</v>
      </c>
      <c r="V29" s="7" t="s">
        <v>131</v>
      </c>
      <c r="W29" s="9" t="s">
        <v>203</v>
      </c>
      <c r="X29" s="28">
        <v>45943</v>
      </c>
      <c r="Y29" s="29">
        <f t="shared" si="0"/>
        <v>45943</v>
      </c>
      <c r="Z29" s="28">
        <f t="shared" si="1"/>
        <v>45953</v>
      </c>
    </row>
    <row r="30" spans="1:26" ht="46.15">
      <c r="A30" s="5">
        <v>28</v>
      </c>
      <c r="B30" s="7" t="s">
        <v>133</v>
      </c>
      <c r="C30" s="60">
        <v>4.6399999999999997</v>
      </c>
      <c r="D30" s="57">
        <v>116</v>
      </c>
      <c r="E30" s="65">
        <v>1.06</v>
      </c>
      <c r="F30" s="60">
        <v>0.47</v>
      </c>
      <c r="G30" s="7" t="s">
        <v>173</v>
      </c>
      <c r="H30" s="7" t="s">
        <v>173</v>
      </c>
      <c r="I30" s="66">
        <v>4.0000000000000001E-3</v>
      </c>
      <c r="J30" s="10" t="s">
        <v>174</v>
      </c>
      <c r="K30" s="52">
        <v>24000</v>
      </c>
      <c r="L30" s="21">
        <v>6.81</v>
      </c>
      <c r="M30" s="12">
        <v>5.8</v>
      </c>
      <c r="N30" s="7">
        <v>9</v>
      </c>
      <c r="O30" s="7">
        <v>5</v>
      </c>
      <c r="P30" s="7">
        <v>13</v>
      </c>
      <c r="Q30" s="7"/>
      <c r="R30" s="63">
        <v>4.5199999999999996</v>
      </c>
      <c r="S30" s="60">
        <v>9.52</v>
      </c>
      <c r="T30" s="52">
        <v>240000</v>
      </c>
      <c r="U30" s="7" t="s">
        <v>134</v>
      </c>
      <c r="V30" s="7" t="s">
        <v>135</v>
      </c>
      <c r="W30" s="9" t="s">
        <v>204</v>
      </c>
      <c r="X30" s="28">
        <v>45944</v>
      </c>
      <c r="Y30" s="29">
        <f t="shared" si="0"/>
        <v>45944</v>
      </c>
      <c r="Z30" s="28">
        <f t="shared" si="1"/>
        <v>45954</v>
      </c>
    </row>
    <row r="31" spans="1:26" ht="76.900000000000006">
      <c r="A31" s="5">
        <v>29</v>
      </c>
      <c r="B31" s="7" t="s">
        <v>137</v>
      </c>
      <c r="C31" s="63">
        <v>1.82</v>
      </c>
      <c r="D31" s="7">
        <v>16</v>
      </c>
      <c r="E31" s="54">
        <v>3.24</v>
      </c>
      <c r="F31" s="7" t="s">
        <v>172</v>
      </c>
      <c r="G31" s="7" t="s">
        <v>173</v>
      </c>
      <c r="H31" s="7" t="s">
        <v>173</v>
      </c>
      <c r="I31" s="7">
        <v>4.0000000000000001E-3</v>
      </c>
      <c r="J31" s="10" t="s">
        <v>174</v>
      </c>
      <c r="K31" s="67">
        <v>24000</v>
      </c>
      <c r="L31" s="21">
        <v>5.74</v>
      </c>
      <c r="M31" s="12">
        <v>6.1</v>
      </c>
      <c r="N31" s="7">
        <v>15</v>
      </c>
      <c r="O31" s="69">
        <v>24</v>
      </c>
      <c r="P31" s="61">
        <v>59</v>
      </c>
      <c r="Q31" s="10"/>
      <c r="R31" s="60">
        <v>0.65</v>
      </c>
      <c r="S31" s="60">
        <v>3.43</v>
      </c>
      <c r="T31" s="52">
        <v>240000</v>
      </c>
      <c r="U31" s="7" t="s">
        <v>138</v>
      </c>
      <c r="V31" s="7" t="s">
        <v>159</v>
      </c>
      <c r="W31" s="9" t="s">
        <v>205</v>
      </c>
      <c r="X31" s="28">
        <v>45939</v>
      </c>
      <c r="Y31" s="29">
        <f t="shared" si="0"/>
        <v>45939</v>
      </c>
      <c r="Z31" s="28">
        <f t="shared" si="1"/>
        <v>45949</v>
      </c>
    </row>
    <row r="32" spans="1:26" ht="46.15">
      <c r="A32" s="5">
        <v>30</v>
      </c>
      <c r="B32" s="7" t="s">
        <v>141</v>
      </c>
      <c r="C32" s="65">
        <v>0.1</v>
      </c>
      <c r="D32" s="7" t="s">
        <v>28</v>
      </c>
      <c r="E32" s="10">
        <v>0.02</v>
      </c>
      <c r="F32" s="7" t="s">
        <v>172</v>
      </c>
      <c r="G32" s="7" t="s">
        <v>173</v>
      </c>
      <c r="H32" s="7" t="s">
        <v>173</v>
      </c>
      <c r="I32" s="7">
        <v>3.0000000000000001E-3</v>
      </c>
      <c r="J32" s="10" t="s">
        <v>174</v>
      </c>
      <c r="K32" s="22">
        <v>45</v>
      </c>
      <c r="L32" s="21">
        <v>6.96</v>
      </c>
      <c r="M32" s="56">
        <v>7</v>
      </c>
      <c r="N32" s="7">
        <v>2</v>
      </c>
      <c r="O32" s="9">
        <v>3</v>
      </c>
      <c r="P32" s="7">
        <v>7</v>
      </c>
      <c r="Q32" s="10"/>
      <c r="R32" s="7" t="s">
        <v>23</v>
      </c>
      <c r="S32" s="64">
        <v>0.16</v>
      </c>
      <c r="T32" s="52">
        <v>2400</v>
      </c>
      <c r="U32" s="7" t="s">
        <v>142</v>
      </c>
      <c r="V32" s="7" t="s">
        <v>143</v>
      </c>
      <c r="W32" s="9" t="s">
        <v>206</v>
      </c>
      <c r="X32" s="28">
        <v>45938</v>
      </c>
      <c r="Y32" s="29">
        <f t="shared" si="0"/>
        <v>45938</v>
      </c>
      <c r="Z32" s="28">
        <f t="shared" si="1"/>
        <v>45948</v>
      </c>
    </row>
    <row r="33" spans="1:26" ht="46.15">
      <c r="A33" s="5">
        <v>31</v>
      </c>
      <c r="B33" s="7" t="s">
        <v>145</v>
      </c>
      <c r="C33" s="70">
        <v>0.05</v>
      </c>
      <c r="D33" s="7">
        <v>149</v>
      </c>
      <c r="E33" s="60">
        <v>1.56</v>
      </c>
      <c r="F33" s="7">
        <v>0.02</v>
      </c>
      <c r="G33" s="7" t="s">
        <v>173</v>
      </c>
      <c r="H33" s="7" t="s">
        <v>173</v>
      </c>
      <c r="I33" s="7" t="s">
        <v>173</v>
      </c>
      <c r="J33" s="10" t="s">
        <v>174</v>
      </c>
      <c r="K33" s="7">
        <v>330</v>
      </c>
      <c r="L33" s="21">
        <v>7.96</v>
      </c>
      <c r="M33" s="12">
        <v>7.2</v>
      </c>
      <c r="N33" s="7">
        <v>36</v>
      </c>
      <c r="O33" s="18">
        <v>10</v>
      </c>
      <c r="P33" s="18">
        <v>21</v>
      </c>
      <c r="Q33" s="10"/>
      <c r="R33" s="7">
        <v>0.17</v>
      </c>
      <c r="S33" s="7">
        <v>0.77</v>
      </c>
      <c r="T33" s="52">
        <v>24000</v>
      </c>
      <c r="U33" s="7" t="s">
        <v>146</v>
      </c>
      <c r="V33" s="7" t="s">
        <v>147</v>
      </c>
      <c r="W33" s="9" t="s">
        <v>207</v>
      </c>
      <c r="X33" s="28">
        <v>45951</v>
      </c>
      <c r="Y33" s="29">
        <f t="shared" si="0"/>
        <v>45951</v>
      </c>
      <c r="Z33" s="28">
        <f t="shared" si="1"/>
        <v>45961</v>
      </c>
    </row>
  </sheetData>
  <mergeCells count="8">
    <mergeCell ref="Y1:Y2"/>
    <mergeCell ref="Z1:Z2"/>
    <mergeCell ref="A1:A2"/>
    <mergeCell ref="B1:B2"/>
    <mergeCell ref="U1:U2"/>
    <mergeCell ref="V1:V2"/>
    <mergeCell ref="W1:W2"/>
    <mergeCell ref="X1:X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Đợt 1 2023</vt:lpstr>
      <vt:lpstr>Đợt 2 2023</vt:lpstr>
      <vt:lpstr>Đợt 3 2023</vt:lpstr>
      <vt:lpstr>Đợt 1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Lữ</dc:creator>
  <cp:lastModifiedBy>Huy Lữ</cp:lastModifiedBy>
  <dcterms:created xsi:type="dcterms:W3CDTF">2026-08-13T16:31:11Z</dcterms:created>
  <dcterms:modified xsi:type="dcterms:W3CDTF">2026-08-13T17:24:53Z</dcterms:modified>
</cp:coreProperties>
</file>